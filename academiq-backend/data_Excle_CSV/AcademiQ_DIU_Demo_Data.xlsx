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Structure" sheetId="1" state="visible" r:id="rId1"/>
    <sheet xmlns:r="http://schemas.openxmlformats.org/officeDocument/2006/relationships" name="CSE311 Marks" sheetId="2" state="visible" r:id="rId2"/>
    <sheet xmlns:r="http://schemas.openxmlformats.org/officeDocument/2006/relationships" name="CSE312 Lab Marks" sheetId="3" state="visible" r:id="rId3"/>
    <sheet xmlns:r="http://schemas.openxmlformats.org/officeDocument/2006/relationships" name="CO Attainment" sheetId="4" state="visible" r:id="rId4"/>
    <sheet xmlns:r="http://schemas.openxmlformats.org/officeDocument/2006/relationships" name="Import Templ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E40AF"/>
      <sz val="9"/>
    </font>
    <font>
      <name val="Arial"/>
      <b val="1"/>
      <color rgb="00FFFFFF"/>
      <sz val="13"/>
    </font>
    <font>
      <name val="Arial"/>
      <b val="1"/>
      <color rgb="00166534"/>
      <sz val="9"/>
    </font>
    <font>
      <name val="Arial"/>
      <b val="1"/>
      <color rgb="005B21B6"/>
      <sz val="9"/>
    </font>
    <font>
      <name val="Arial"/>
      <b val="1"/>
      <color rgb="00FFFFFF"/>
      <sz val="9"/>
    </font>
    <font>
      <name val="Arial"/>
      <color rgb="00166534"/>
      <sz val="9"/>
    </font>
    <font>
      <name val="Arial"/>
      <color rgb="00991B1B"/>
      <sz val="9"/>
    </font>
    <font>
      <name val="Arial"/>
      <b val="1"/>
      <sz val="9"/>
    </font>
    <font>
      <name val="Arial"/>
      <b val="1"/>
      <color rgb="00FFFFFF"/>
      <sz val="12"/>
    </font>
    <font>
      <name val="Arial"/>
      <i val="1"/>
      <color rgb="0092400E"/>
      <sz val="9"/>
    </font>
    <font>
      <name val="Arial"/>
      <i val="1"/>
      <color rgb="00CBD5E1"/>
      <sz val="9"/>
    </font>
  </fonts>
  <fills count="1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3B82F6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FF7F7"/>
      </patternFill>
    </fill>
    <fill>
      <patternFill patternType="solid">
        <fgColor rgb="00FEE2E2"/>
      </patternFill>
    </fill>
    <fill>
      <patternFill patternType="solid">
        <fgColor rgb="00166534"/>
      </patternFill>
    </fill>
    <fill>
      <patternFill patternType="solid">
        <fgColor rgb="00FEF3C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9" customWidth="1" min="3" max="3"/>
    <col width="10" customWidth="1" min="4" max="4"/>
    <col width="14" customWidth="1" min="5" max="5"/>
    <col width="18" customWidth="1" min="6" max="6"/>
    <col width="26" customWidth="1" min="7" max="7"/>
    <col width="32" customWidth="1" min="8" max="8"/>
    <col width="13" customWidth="1" min="9" max="9"/>
    <col width="13" customWidth="1" min="10" max="10"/>
    <col width="12" customWidth="1" min="11" max="11"/>
    <col width="10" customWidth="1" min="12" max="12"/>
  </cols>
  <sheetData>
    <row r="1" ht="45" customHeight="1">
      <c r="A1" s="1" t="inlineStr">
        <is>
          <t>AcademiQ — DIU OBE Course Structure | CSE311 &amp; CSE312 | Summer 2025</t>
        </is>
      </c>
    </row>
    <row r="2" ht="20" customHeight="1"/>
    <row r="3">
      <c r="A3" s="2" t="inlineStr">
        <is>
          <t>COURSE INFORMATION</t>
        </is>
      </c>
    </row>
    <row r="4">
      <c r="A4" s="3" t="inlineStr">
        <is>
          <t>Course Code</t>
        </is>
      </c>
      <c r="B4" s="3" t="inlineStr">
        <is>
          <t>Course Title</t>
        </is>
      </c>
      <c r="C4" s="3" t="inlineStr">
        <is>
          <t>Credits</t>
        </is>
      </c>
      <c r="D4" s="3" t="inlineStr">
        <is>
          <t>Type</t>
        </is>
      </c>
      <c r="E4" s="3" t="inlineStr">
        <is>
          <t>Semester</t>
        </is>
      </c>
      <c r="F4" s="3" t="inlineStr">
        <is>
          <t>Prerequisite</t>
        </is>
      </c>
      <c r="G4" s="3" t="inlineStr">
        <is>
          <t>Faculty</t>
        </is>
      </c>
      <c r="H4" s="3" t="inlineStr">
        <is>
          <t>Department</t>
        </is>
      </c>
      <c r="I4" s="3" t="inlineStr">
        <is>
          <t>Total Weeks</t>
        </is>
      </c>
      <c r="J4" s="3" t="inlineStr">
        <is>
          <t>Total Marks</t>
        </is>
      </c>
      <c r="K4" s="3" t="inlineStr">
        <is>
          <t>Min Pass %</t>
        </is>
      </c>
      <c r="L4" s="3" t="inlineStr">
        <is>
          <t>Status</t>
        </is>
      </c>
    </row>
    <row r="5">
      <c r="A5" s="4" t="inlineStr">
        <is>
          <t>CSE311</t>
        </is>
      </c>
      <c r="B5" s="5" t="inlineStr">
        <is>
          <t>Database Management System</t>
        </is>
      </c>
      <c r="C5" s="4" t="inlineStr">
        <is>
          <t>3.0</t>
        </is>
      </c>
      <c r="D5" s="4" t="inlineStr">
        <is>
          <t>Theory / Core</t>
        </is>
      </c>
      <c r="E5" s="4" t="inlineStr">
        <is>
          <t>Summer 2025</t>
        </is>
      </c>
      <c r="F5" s="4" t="inlineStr">
        <is>
          <t>CSE134, CSE221</t>
        </is>
      </c>
      <c r="G5" s="4" t="inlineStr">
        <is>
          <t>Mohammad Jahangir Alam</t>
        </is>
      </c>
      <c r="H5" s="4" t="inlineStr">
        <is>
          <t>Computer Science &amp; Engineering</t>
        </is>
      </c>
      <c r="I5" s="4" t="inlineStr">
        <is>
          <t>14</t>
        </is>
      </c>
      <c r="J5" s="4" t="inlineStr">
        <is>
          <t>100</t>
        </is>
      </c>
      <c r="K5" s="4" t="inlineStr">
        <is>
          <t>60%</t>
        </is>
      </c>
      <c r="L5" s="4" t="inlineStr">
        <is>
          <t>Active</t>
        </is>
      </c>
    </row>
    <row r="6">
      <c r="A6" s="6" t="inlineStr">
        <is>
          <t>CSE312</t>
        </is>
      </c>
      <c r="B6" s="7" t="inlineStr">
        <is>
          <t>Database Management System Lab</t>
        </is>
      </c>
      <c r="C6" s="6" t="inlineStr">
        <is>
          <t>1.5</t>
        </is>
      </c>
      <c r="D6" s="6" t="inlineStr">
        <is>
          <t>Lab / Core</t>
        </is>
      </c>
      <c r="E6" s="6" t="inlineStr">
        <is>
          <t>Summer 2025</t>
        </is>
      </c>
      <c r="F6" s="6" t="inlineStr">
        <is>
          <t>CSE134</t>
        </is>
      </c>
      <c r="G6" s="6" t="inlineStr">
        <is>
          <t>Mohammad Jahangir Alam</t>
        </is>
      </c>
      <c r="H6" s="6" t="inlineStr">
        <is>
          <t>Computer Science &amp; Engineering</t>
        </is>
      </c>
      <c r="I6" s="6" t="inlineStr">
        <is>
          <t>14</t>
        </is>
      </c>
      <c r="J6" s="6" t="inlineStr">
        <is>
          <t>100</t>
        </is>
      </c>
      <c r="K6" s="6" t="inlineStr">
        <is>
          <t>60%</t>
        </is>
      </c>
      <c r="L6" s="6" t="inlineStr">
        <is>
          <t>Active</t>
        </is>
      </c>
    </row>
    <row r="8">
      <c r="A8" s="2" t="inlineStr">
        <is>
          <t>COURSE LEARNING OUTCOMES (CLOs) &amp; PO MAPPING — Based on Real DIU Course Outlines</t>
        </is>
      </c>
    </row>
    <row r="9">
      <c r="A9" s="3" t="inlineStr">
        <is>
          <t>Course</t>
        </is>
      </c>
      <c r="B9" s="3" t="inlineStr">
        <is>
          <t>CLO</t>
        </is>
      </c>
      <c r="C9" s="3" t="inlineStr">
        <is>
          <t>CLO Statement</t>
        </is>
      </c>
      <c r="D9" s="3" t="inlineStr">
        <is>
          <t>Bloom's Level</t>
        </is>
      </c>
      <c r="E9" s="3" t="inlineStr">
        <is>
          <t>Mapped PO</t>
        </is>
      </c>
      <c r="F9" s="3" t="inlineStr">
        <is>
          <t>PO Description</t>
        </is>
      </c>
      <c r="G9" s="3" t="inlineStr">
        <is>
          <t>CO-wise Weight</t>
        </is>
      </c>
      <c r="H9" s="3" t="inlineStr">
        <is>
          <t>Assessment Type</t>
        </is>
      </c>
    </row>
    <row r="10">
      <c r="A10" s="8" t="inlineStr">
        <is>
          <t>CSE311</t>
        </is>
      </c>
      <c r="B10" s="8" t="inlineStr">
        <is>
          <t>CO1</t>
        </is>
      </c>
      <c r="C10" s="9" t="inlineStr">
        <is>
          <t>Relate and apply fundamental database concepts including relational data models, normalization, and basic SQL to design and manage structured data systems.</t>
        </is>
      </c>
      <c r="D10" s="8" t="inlineStr">
        <is>
          <t>Apply</t>
        </is>
      </c>
      <c r="E10" s="8" t="inlineStr">
        <is>
          <t>PO1</t>
        </is>
      </c>
      <c r="F10" s="8" t="inlineStr">
        <is>
          <t>Engineering Knowledge</t>
        </is>
      </c>
      <c r="G10" s="8" t="inlineStr">
        <is>
          <t>27%</t>
        </is>
      </c>
      <c r="H10" s="9" t="inlineStr">
        <is>
          <t>Quiz, Assignment, Mid-Term</t>
        </is>
      </c>
    </row>
    <row r="11">
      <c r="A11" s="8" t="inlineStr">
        <is>
          <t>CSE311</t>
        </is>
      </c>
      <c r="B11" s="8" t="inlineStr">
        <is>
          <t>CO2</t>
        </is>
      </c>
      <c r="C11" s="9" t="inlineStr">
        <is>
          <t>Implement and optimize relational databases, incorporating advanced SQL queries, indexing techniques and query optimization strategies.</t>
        </is>
      </c>
      <c r="D11" s="8" t="inlineStr">
        <is>
          <t>Evaluate</t>
        </is>
      </c>
      <c r="E11" s="8" t="inlineStr">
        <is>
          <t>PO3</t>
        </is>
      </c>
      <c r="F11" s="8" t="inlineStr">
        <is>
          <t>Design/Development of Solutions</t>
        </is>
      </c>
      <c r="G11" s="8" t="inlineStr">
        <is>
          <t>28%</t>
        </is>
      </c>
      <c r="H11" s="9" t="inlineStr">
        <is>
          <t>Mid-Term, Final Exam</t>
        </is>
      </c>
    </row>
    <row r="12">
      <c r="A12" s="8" t="inlineStr">
        <is>
          <t>CSE311</t>
        </is>
      </c>
      <c r="B12" s="8" t="inlineStr">
        <is>
          <t>CO3</t>
        </is>
      </c>
      <c r="C12" s="9" t="inlineStr">
        <is>
          <t>Apply and Analyze security techniques, distributed database architectures, and emerging tools in database management using modern tools addressing real-world challenges.</t>
        </is>
      </c>
      <c r="D12" s="8" t="inlineStr">
        <is>
          <t>Analyze</t>
        </is>
      </c>
      <c r="E12" s="8" t="inlineStr">
        <is>
          <t>PO5</t>
        </is>
      </c>
      <c r="F12" s="8" t="inlineStr">
        <is>
          <t>Modern Tool Usage</t>
        </is>
      </c>
      <c r="G12" s="8" t="inlineStr">
        <is>
          <t>10%</t>
        </is>
      </c>
      <c r="H12" s="9" t="inlineStr">
        <is>
          <t>Final Exam</t>
        </is>
      </c>
    </row>
    <row r="13">
      <c r="A13" s="10" t="inlineStr">
        <is>
          <t>CSE312</t>
        </is>
      </c>
      <c r="B13" s="10" t="inlineStr">
        <is>
          <t>CO1</t>
        </is>
      </c>
      <c r="C13" s="11" t="inlineStr">
        <is>
          <t>Implement and optimize relational databases using basic to advanced SQL queries, indexing techniques, and query optimization strategies.</t>
        </is>
      </c>
      <c r="D13" s="10" t="inlineStr">
        <is>
          <t>Apply</t>
        </is>
      </c>
      <c r="E13" s="10" t="inlineStr">
        <is>
          <t>PO3</t>
        </is>
      </c>
      <c r="F13" s="10" t="inlineStr">
        <is>
          <t>Design/Development of Solutions</t>
        </is>
      </c>
      <c r="G13" s="10" t="inlineStr">
        <is>
          <t>40%</t>
        </is>
      </c>
      <c r="H13" s="11" t="inlineStr">
        <is>
          <t>Lab Performance, Lab Project</t>
        </is>
      </c>
    </row>
    <row r="14">
      <c r="A14" s="10" t="inlineStr">
        <is>
          <t>CSE312</t>
        </is>
      </c>
      <c r="B14" s="10" t="inlineStr">
        <is>
          <t>CO2</t>
        </is>
      </c>
      <c r="C14" s="11" t="inlineStr">
        <is>
          <t>Analyze and apply security techniques, distributed database architectures, and emerging tools in database management to address real-world challenges.</t>
        </is>
      </c>
      <c r="D14" s="10" t="inlineStr">
        <is>
          <t>Analyze</t>
        </is>
      </c>
      <c r="E14" s="10" t="inlineStr">
        <is>
          <t>PO5</t>
        </is>
      </c>
      <c r="F14" s="10" t="inlineStr">
        <is>
          <t>Modern Tool Usage</t>
        </is>
      </c>
      <c r="G14" s="10" t="inlineStr">
        <is>
          <t>30%</t>
        </is>
      </c>
      <c r="H14" s="11" t="inlineStr">
        <is>
          <t>Lab Report, Lab Project</t>
        </is>
      </c>
    </row>
    <row r="15">
      <c r="A15" s="10" t="inlineStr">
        <is>
          <t>CSE312</t>
        </is>
      </c>
      <c r="B15" s="10" t="inlineStr">
        <is>
          <t>CO3</t>
        </is>
      </c>
      <c r="C15" s="11" t="inlineStr">
        <is>
          <t>Perform effectively as an individual or a member or a leader of diverse teams through proper documentation and initialization of project work.</t>
        </is>
      </c>
      <c r="D15" s="10" t="inlineStr">
        <is>
          <t>Apply</t>
        </is>
      </c>
      <c r="E15" s="10" t="inlineStr">
        <is>
          <t>PO9</t>
        </is>
      </c>
      <c r="F15" s="10" t="inlineStr">
        <is>
          <t>Individual and Team Work</t>
        </is>
      </c>
      <c r="G15" s="10" t="inlineStr">
        <is>
          <t>20%</t>
        </is>
      </c>
      <c r="H15" s="11" t="inlineStr">
        <is>
          <t>Lab Project, Lab Report</t>
        </is>
      </c>
    </row>
    <row r="16">
      <c r="A16" s="10" t="inlineStr">
        <is>
          <t>CSE312</t>
        </is>
      </c>
      <c r="B16" s="10" t="inlineStr">
        <is>
          <t>CO4</t>
        </is>
      </c>
      <c r="C16" s="11" t="inlineStr">
        <is>
          <t>Create a project explaining complex computer engineering activities with the engineering community by performing effective communication.</t>
        </is>
      </c>
      <c r="D16" s="10" t="inlineStr">
        <is>
          <t>Create</t>
        </is>
      </c>
      <c r="E16" s="10" t="inlineStr">
        <is>
          <t>PO10</t>
        </is>
      </c>
      <c r="F16" s="10" t="inlineStr">
        <is>
          <t>Communication</t>
        </is>
      </c>
      <c r="G16" s="10" t="inlineStr">
        <is>
          <t>10%</t>
        </is>
      </c>
      <c r="H16" s="11" t="inlineStr">
        <is>
          <t>Lab Project</t>
        </is>
      </c>
    </row>
    <row r="18">
      <c r="A18" s="2" t="inlineStr">
        <is>
          <t>ASSESSMENT PATTERN — UGC/DIU OBE Standard (Total = 100 Marks)</t>
        </is>
      </c>
    </row>
    <row r="19">
      <c r="A19" s="3" t="inlineStr">
        <is>
          <t>Course</t>
        </is>
      </c>
      <c r="B19" s="3" t="inlineStr">
        <is>
          <t>Assessment Type</t>
        </is>
      </c>
      <c r="C19" s="3" t="inlineStr">
        <is>
          <t>Marks</t>
        </is>
      </c>
      <c r="D19" s="3" t="inlineStr">
        <is>
          <t>CO1 Marks</t>
        </is>
      </c>
      <c r="E19" s="3" t="inlineStr">
        <is>
          <t>CO2 Marks</t>
        </is>
      </c>
      <c r="F19" s="3" t="inlineStr">
        <is>
          <t>CO3 Marks</t>
        </is>
      </c>
      <c r="G19" s="3" t="inlineStr">
        <is>
          <t>CO4 Marks</t>
        </is>
      </c>
      <c r="H19" s="3" t="inlineStr">
        <is>
          <t>Week</t>
        </is>
      </c>
      <c r="I19" s="3" t="inlineStr">
        <is>
          <t>Notes</t>
        </is>
      </c>
    </row>
    <row r="20">
      <c r="A20" s="6" t="inlineStr">
        <is>
          <t>CSE311</t>
        </is>
      </c>
      <c r="B20" s="6" t="inlineStr">
        <is>
          <t>Attendance</t>
        </is>
      </c>
      <c r="C20" s="6" t="n">
        <v>7</v>
      </c>
      <c r="D20" s="6" t="n">
        <v>7</v>
      </c>
      <c r="E20" s="6" t="inlineStr">
        <is>
          <t>-</t>
        </is>
      </c>
      <c r="F20" s="6" t="inlineStr">
        <is>
          <t>-</t>
        </is>
      </c>
      <c r="G20" s="6" t="inlineStr">
        <is>
          <t>-</t>
        </is>
      </c>
      <c r="H20" s="6" t="inlineStr">
        <is>
          <t>All</t>
        </is>
      </c>
      <c r="I20" s="6" t="inlineStr">
        <is>
          <t>UGC required</t>
        </is>
      </c>
    </row>
    <row r="21">
      <c r="A21" s="4" t="inlineStr">
        <is>
          <t>CSE311</t>
        </is>
      </c>
      <c r="B21" s="4" t="inlineStr">
        <is>
          <t>Quiz (3×5)</t>
        </is>
      </c>
      <c r="C21" s="4" t="n">
        <v>15</v>
      </c>
      <c r="D21" s="4" t="n">
        <v>10</v>
      </c>
      <c r="E21" s="4" t="n">
        <v>5</v>
      </c>
      <c r="F21" s="4" t="inlineStr">
        <is>
          <t>-</t>
        </is>
      </c>
      <c r="G21" s="4" t="inlineStr">
        <is>
          <t>-</t>
        </is>
      </c>
      <c r="H21" s="4" t="inlineStr">
        <is>
          <t>3,5,7</t>
        </is>
      </c>
      <c r="I21" s="4" t="inlineStr">
        <is>
          <t>Short questions per CLO</t>
        </is>
      </c>
    </row>
    <row r="22">
      <c r="A22" s="6" t="inlineStr">
        <is>
          <t>CSE311</t>
        </is>
      </c>
      <c r="B22" s="6" t="inlineStr">
        <is>
          <t>Presentation</t>
        </is>
      </c>
      <c r="C22" s="6" t="n">
        <v>8</v>
      </c>
      <c r="D22" s="6" t="inlineStr">
        <is>
          <t>-</t>
        </is>
      </c>
      <c r="E22" s="6" t="n">
        <v>8</v>
      </c>
      <c r="F22" s="6" t="inlineStr">
        <is>
          <t>-</t>
        </is>
      </c>
      <c r="G22" s="6" t="inlineStr">
        <is>
          <t>-</t>
        </is>
      </c>
      <c r="H22" s="6" t="inlineStr">
        <is>
          <t>9</t>
        </is>
      </c>
      <c r="I22" s="6" t="inlineStr">
        <is>
          <t>Group pres mapped CO2</t>
        </is>
      </c>
    </row>
    <row r="23">
      <c r="A23" s="4" t="inlineStr">
        <is>
          <t>CSE311</t>
        </is>
      </c>
      <c r="B23" s="4" t="inlineStr">
        <is>
          <t>Assignment</t>
        </is>
      </c>
      <c r="C23" s="4" t="n">
        <v>5</v>
      </c>
      <c r="D23" s="4" t="n">
        <v>5</v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Normalization task</t>
        </is>
      </c>
    </row>
    <row r="24">
      <c r="A24" s="6" t="inlineStr">
        <is>
          <t>CSE311</t>
        </is>
      </c>
      <c r="B24" s="6" t="inlineStr">
        <is>
          <t>Mid-Term</t>
        </is>
      </c>
      <c r="C24" s="6" t="n">
        <v>25</v>
      </c>
      <c r="D24" s="6" t="n">
        <v>17</v>
      </c>
      <c r="E24" s="6" t="n">
        <v>8</v>
      </c>
      <c r="F24" s="6" t="inlineStr">
        <is>
          <t>-</t>
        </is>
      </c>
      <c r="G24" s="6" t="inlineStr">
        <is>
          <t>-</t>
        </is>
      </c>
      <c r="H24" s="6" t="inlineStr">
        <is>
          <t>8</t>
        </is>
      </c>
      <c r="I24" s="6" t="inlineStr">
        <is>
          <t>Written exam</t>
        </is>
      </c>
    </row>
    <row r="25">
      <c r="A25" s="4" t="inlineStr">
        <is>
          <t>CSE311</t>
        </is>
      </c>
      <c r="B25" s="4" t="inlineStr">
        <is>
          <t>Final Exam</t>
        </is>
      </c>
      <c r="C25" s="4" t="n">
        <v>40</v>
      </c>
      <c r="D25" s="4" t="n">
        <v>10</v>
      </c>
      <c r="E25" s="4" t="n">
        <v>20</v>
      </c>
      <c r="F25" s="4" t="n">
        <v>10</v>
      </c>
      <c r="G25" s="4" t="inlineStr">
        <is>
          <t>-</t>
        </is>
      </c>
      <c r="H25" s="4" t="inlineStr">
        <is>
          <t>14</t>
        </is>
      </c>
      <c r="I25" s="4" t="inlineStr">
        <is>
          <t>Comprehensive</t>
        </is>
      </c>
    </row>
    <row r="26">
      <c r="A26" s="12" t="inlineStr">
        <is>
          <t>CSE311</t>
        </is>
      </c>
      <c r="B26" s="12" t="inlineStr">
        <is>
          <t>TOTAL</t>
        </is>
      </c>
      <c r="C26" s="12" t="n">
        <v>100</v>
      </c>
      <c r="D26" s="12" t="n">
        <v>49</v>
      </c>
      <c r="E26" s="12" t="n">
        <v>41</v>
      </c>
      <c r="F26" s="12" t="n">
        <v>10</v>
      </c>
      <c r="G26" s="12" t="inlineStr">
        <is>
          <t>-</t>
        </is>
      </c>
      <c r="H26" s="12" t="inlineStr">
        <is>
          <t>-</t>
        </is>
      </c>
      <c r="I26" s="12">
        <f>SUM</f>
        <v/>
      </c>
    </row>
    <row r="27">
      <c r="A27" s="4" t="inlineStr">
        <is>
          <t>CSE312</t>
        </is>
      </c>
      <c r="B27" s="4" t="inlineStr">
        <is>
          <t>Attendance</t>
        </is>
      </c>
      <c r="C27" s="4" t="n">
        <v>10</v>
      </c>
      <c r="D27" s="4" t="n">
        <v>10</v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All</t>
        </is>
      </c>
      <c r="I27" s="4" t="inlineStr">
        <is>
          <t>Lab attendance</t>
        </is>
      </c>
    </row>
    <row r="28">
      <c r="A28" s="6" t="inlineStr">
        <is>
          <t>CSE312</t>
        </is>
      </c>
      <c r="B28" s="6" t="inlineStr">
        <is>
          <t>Lab Perf (5×5)</t>
        </is>
      </c>
      <c r="C28" s="6" t="n">
        <v>25</v>
      </c>
      <c r="D28" s="6" t="n">
        <v>10</v>
      </c>
      <c r="E28" s="6" t="n">
        <v>10</v>
      </c>
      <c r="F28" s="6" t="n">
        <v>5</v>
      </c>
      <c r="G28" s="6" t="inlineStr">
        <is>
          <t>-</t>
        </is>
      </c>
      <c r="H28" s="6" t="inlineStr">
        <is>
          <t>3-9</t>
        </is>
      </c>
      <c r="I28" s="6" t="inlineStr">
        <is>
          <t>Weekly lab tasks</t>
        </is>
      </c>
    </row>
    <row r="29">
      <c r="A29" s="4" t="inlineStr">
        <is>
          <t>CSE312</t>
        </is>
      </c>
      <c r="B29" s="4" t="inlineStr">
        <is>
          <t>Lab Report</t>
        </is>
      </c>
      <c r="C29" s="4" t="n">
        <v>25</v>
      </c>
      <c r="D29" s="4" t="n">
        <v>12</v>
      </c>
      <c r="E29" s="4" t="n">
        <v>13</v>
      </c>
      <c r="F29" s="4" t="inlineStr">
        <is>
          <t>-</t>
        </is>
      </c>
      <c r="G29" s="4" t="inlineStr">
        <is>
          <t>-</t>
        </is>
      </c>
      <c r="H29" s="4" t="inlineStr">
        <is>
          <t>8,10</t>
        </is>
      </c>
      <c r="I29" s="4" t="inlineStr">
        <is>
          <t>Written reports</t>
        </is>
      </c>
    </row>
    <row r="30">
      <c r="A30" s="6" t="inlineStr">
        <is>
          <t>CSE312</t>
        </is>
      </c>
      <c r="B30" s="6" t="inlineStr">
        <is>
          <t>Lab Project</t>
        </is>
      </c>
      <c r="C30" s="6" t="n">
        <v>40</v>
      </c>
      <c r="D30" s="6" t="n">
        <v>10</v>
      </c>
      <c r="E30" s="6" t="n">
        <v>20</v>
      </c>
      <c r="F30" s="6" t="n">
        <v>10</v>
      </c>
      <c r="G30" s="6" t="inlineStr">
        <is>
          <t>-</t>
        </is>
      </c>
      <c r="H30" s="6" t="inlineStr">
        <is>
          <t>12-14</t>
        </is>
      </c>
      <c r="I30" s="6" t="inlineStr">
        <is>
          <t>CEP-based project</t>
        </is>
      </c>
    </row>
    <row r="31">
      <c r="A31" s="12" t="inlineStr">
        <is>
          <t>CSE312</t>
        </is>
      </c>
      <c r="B31" s="12" t="inlineStr">
        <is>
          <t>TOTAL</t>
        </is>
      </c>
      <c r="C31" s="12" t="n">
        <v>100</v>
      </c>
      <c r="D31" s="12" t="n">
        <v>42</v>
      </c>
      <c r="E31" s="12" t="n">
        <v>43</v>
      </c>
      <c r="F31" s="12" t="n">
        <v>15</v>
      </c>
      <c r="G31" s="12" t="inlineStr">
        <is>
          <t>-</t>
        </is>
      </c>
      <c r="H31" s="12" t="inlineStr">
        <is>
          <t>-</t>
        </is>
      </c>
      <c r="I31" s="12">
        <f>SUM</f>
        <v/>
      </c>
    </row>
  </sheetData>
  <mergeCells count="4">
    <mergeCell ref="A3:L3"/>
    <mergeCell ref="A8:L8"/>
    <mergeCell ref="A1:L1"/>
    <mergeCell ref="A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6" customWidth="1" min="10" max="10"/>
    <col width="10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8" customWidth="1" min="18" max="18"/>
  </cols>
  <sheetData>
    <row r="1" ht="40" customHeight="1">
      <c r="A1" s="13" t="inlineStr">
        <is>
          <t>CSE311 — Database Management System | Student Marks | Summer 2025</t>
        </is>
      </c>
    </row>
    <row r="3">
      <c r="C3" s="14" t="inlineStr">
        <is>
          <t>CO1 — Engineering Knowledge (PO1) | 49 marks</t>
        </is>
      </c>
      <c r="G3" s="15" t="inlineStr">
        <is>
          <t>CO2 — Design Solutions (PO3) | 41 marks</t>
        </is>
      </c>
      <c r="K3" s="16" t="inlineStr">
        <is>
          <t>CO3 — Modern Tools (PO5)</t>
        </is>
      </c>
      <c r="L3" s="17" t="inlineStr">
        <is>
          <t>Computed Attainment</t>
        </is>
      </c>
      <c r="O3" s="18" t="inlineStr">
        <is>
          <t>Grade Info</t>
        </is>
      </c>
    </row>
    <row r="4">
      <c r="A4" s="3" t="inlineStr">
        <is>
          <t>Student ID</t>
        </is>
      </c>
      <c r="B4" s="3" t="inlineStr">
        <is>
          <t>Student Name</t>
        </is>
      </c>
      <c r="C4" s="3" t="inlineStr">
        <is>
          <t>Attend (7)</t>
        </is>
      </c>
      <c r="D4" s="3" t="inlineStr">
        <is>
          <t>Quiz1 (5)</t>
        </is>
      </c>
      <c r="E4" s="3" t="inlineStr">
        <is>
          <t>Quiz2 (5)</t>
        </is>
      </c>
      <c r="F4" s="3" t="inlineStr">
        <is>
          <t>Assign (5)</t>
        </is>
      </c>
      <c r="G4" s="3" t="inlineStr">
        <is>
          <t>Quiz3 (5)</t>
        </is>
      </c>
      <c r="H4" s="3" t="inlineStr">
        <is>
          <t>Pres (8)</t>
        </is>
      </c>
      <c r="I4" s="3" t="inlineStr">
        <is>
          <t>Mid (25)</t>
        </is>
      </c>
      <c r="J4" s="3" t="inlineStr">
        <is>
          <t>—</t>
        </is>
      </c>
      <c r="K4" s="3" t="inlineStr">
        <is>
          <t>Final (40)</t>
        </is>
      </c>
      <c r="L4" s="3" t="inlineStr">
        <is>
          <t>Total /100</t>
        </is>
      </c>
      <c r="M4" s="3" t="inlineStr">
        <is>
          <t>CO1 %</t>
        </is>
      </c>
      <c r="N4" s="3" t="inlineStr">
        <is>
          <t>CO2 %</t>
        </is>
      </c>
      <c r="O4" s="3" t="inlineStr">
        <is>
          <t>CO3 %</t>
        </is>
      </c>
      <c r="P4" s="3" t="inlineStr">
        <is>
          <t>Grade</t>
        </is>
      </c>
      <c r="Q4" s="3" t="inlineStr">
        <is>
          <t>Grade Point</t>
        </is>
      </c>
      <c r="R4" s="3" t="inlineStr">
        <is>
          <t>Status</t>
        </is>
      </c>
    </row>
    <row r="5">
      <c r="A5" s="6" t="inlineStr">
        <is>
          <t>221-15-001</t>
        </is>
      </c>
      <c r="B5" s="7" t="inlineStr">
        <is>
          <t>Arafat Hossain</t>
        </is>
      </c>
      <c r="C5" s="6" t="n">
        <v>6.5</v>
      </c>
      <c r="D5" s="6" t="n">
        <v>4.5</v>
      </c>
      <c r="E5" s="6" t="n">
        <v>4.4</v>
      </c>
      <c r="F5" s="6" t="n">
        <v>4.1</v>
      </c>
      <c r="G5" s="6" t="n">
        <v>4</v>
      </c>
      <c r="H5" s="6" t="n">
        <v>7.7</v>
      </c>
      <c r="I5" s="6" t="n">
        <v>22.3</v>
      </c>
      <c r="J5" s="6" t="inlineStr">
        <is>
          <t>—</t>
        </is>
      </c>
      <c r="K5" s="6" t="n">
        <v>32.1</v>
      </c>
      <c r="L5" s="6">
        <f>SUM(C5:K5)-J5</f>
        <v/>
      </c>
      <c r="M5" s="6">
        <f>ROUND((C5+D5+E5+F5)/27*100,1)</f>
        <v/>
      </c>
      <c r="N5" s="6">
        <f>ROUND((G5+H5+I5)/38*100,1)</f>
        <v/>
      </c>
      <c r="O5" s="6">
        <f>ROUND(K5/40*100,1)</f>
        <v/>
      </c>
      <c r="P5" s="6" t="inlineStr">
        <is>
          <t>A+</t>
        </is>
      </c>
      <c r="Q5" s="6" t="n">
        <v>4</v>
      </c>
      <c r="R5" s="19" t="inlineStr">
        <is>
          <t>PASS</t>
        </is>
      </c>
    </row>
    <row r="6">
      <c r="A6" s="6" t="inlineStr">
        <is>
          <t>221-15-002</t>
        </is>
      </c>
      <c r="B6" s="7" t="inlineStr">
        <is>
          <t>Nusrat Jahan</t>
        </is>
      </c>
      <c r="C6" s="6" t="n">
        <v>6.3</v>
      </c>
      <c r="D6" s="6" t="n">
        <v>4</v>
      </c>
      <c r="E6" s="6" t="n">
        <v>4.6</v>
      </c>
      <c r="F6" s="6" t="n">
        <v>4.8</v>
      </c>
      <c r="G6" s="6" t="n">
        <v>4</v>
      </c>
      <c r="H6" s="6" t="n">
        <v>6.4</v>
      </c>
      <c r="I6" s="6" t="n">
        <v>19.9</v>
      </c>
      <c r="J6" s="6" t="inlineStr">
        <is>
          <t>—</t>
        </is>
      </c>
      <c r="K6" s="6" t="n">
        <v>35.3</v>
      </c>
      <c r="L6" s="6">
        <f>SUM(C6:K6)-J6</f>
        <v/>
      </c>
      <c r="M6" s="6">
        <f>ROUND((C6+D6+E6+F6)/27*100,1)</f>
        <v/>
      </c>
      <c r="N6" s="6">
        <f>ROUND((G6+H6+I6)/38*100,1)</f>
        <v/>
      </c>
      <c r="O6" s="6">
        <f>ROUND(K6/40*100,1)</f>
        <v/>
      </c>
      <c r="P6" s="6" t="inlineStr">
        <is>
          <t>A+</t>
        </is>
      </c>
      <c r="Q6" s="6" t="n">
        <v>4</v>
      </c>
      <c r="R6" s="19" t="inlineStr">
        <is>
          <t>PASS</t>
        </is>
      </c>
    </row>
    <row r="7">
      <c r="A7" s="6" t="inlineStr">
        <is>
          <t>221-15-003</t>
        </is>
      </c>
      <c r="B7" s="7" t="inlineStr">
        <is>
          <t>Mahmudul Hasan</t>
        </is>
      </c>
      <c r="C7" s="6" t="n">
        <v>6.8</v>
      </c>
      <c r="D7" s="6" t="n">
        <v>4.1</v>
      </c>
      <c r="E7" s="6" t="n">
        <v>4.1</v>
      </c>
      <c r="F7" s="6" t="n">
        <v>4.6</v>
      </c>
      <c r="G7" s="6" t="n">
        <v>4.8</v>
      </c>
      <c r="H7" s="6" t="n">
        <v>7.7</v>
      </c>
      <c r="I7" s="6" t="n">
        <v>22.6</v>
      </c>
      <c r="J7" s="6" t="inlineStr">
        <is>
          <t>—</t>
        </is>
      </c>
      <c r="K7" s="6" t="n">
        <v>38.2</v>
      </c>
      <c r="L7" s="6">
        <f>SUM(C7:K7)-J7</f>
        <v/>
      </c>
      <c r="M7" s="6">
        <f>ROUND((C7+D7+E7+F7)/27*100,1)</f>
        <v/>
      </c>
      <c r="N7" s="6">
        <f>ROUND((G7+H7+I7)/38*100,1)</f>
        <v/>
      </c>
      <c r="O7" s="6">
        <f>ROUND(K7/40*100,1)</f>
        <v/>
      </c>
      <c r="P7" s="6" t="inlineStr">
        <is>
          <t>A+</t>
        </is>
      </c>
      <c r="Q7" s="6" t="n">
        <v>4</v>
      </c>
      <c r="R7" s="19" t="inlineStr">
        <is>
          <t>PASS</t>
        </is>
      </c>
    </row>
    <row r="8">
      <c r="A8" s="6" t="inlineStr">
        <is>
          <t>221-15-004</t>
        </is>
      </c>
      <c r="B8" s="7" t="inlineStr">
        <is>
          <t>Fatema Akter</t>
        </is>
      </c>
      <c r="C8" s="6" t="n">
        <v>6.3</v>
      </c>
      <c r="D8" s="6" t="n">
        <v>4.8</v>
      </c>
      <c r="E8" s="6" t="n">
        <v>4.5</v>
      </c>
      <c r="F8" s="6" t="n">
        <v>4.4</v>
      </c>
      <c r="G8" s="6" t="n">
        <v>4.1</v>
      </c>
      <c r="H8" s="6" t="n">
        <v>6.7</v>
      </c>
      <c r="I8" s="6" t="n">
        <v>19.9</v>
      </c>
      <c r="J8" s="6" t="inlineStr">
        <is>
          <t>—</t>
        </is>
      </c>
      <c r="K8" s="6" t="n">
        <v>37.2</v>
      </c>
      <c r="L8" s="6">
        <f>SUM(C8:K8)-J8</f>
        <v/>
      </c>
      <c r="M8" s="6">
        <f>ROUND((C8+D8+E8+F8)/27*100,1)</f>
        <v/>
      </c>
      <c r="N8" s="6">
        <f>ROUND((G8+H8+I8)/38*100,1)</f>
        <v/>
      </c>
      <c r="O8" s="6">
        <f>ROUND(K8/40*100,1)</f>
        <v/>
      </c>
      <c r="P8" s="6" t="inlineStr">
        <is>
          <t>A+</t>
        </is>
      </c>
      <c r="Q8" s="6" t="n">
        <v>4</v>
      </c>
      <c r="R8" s="19" t="inlineStr">
        <is>
          <t>PASS</t>
        </is>
      </c>
    </row>
    <row r="9">
      <c r="A9" s="6" t="inlineStr">
        <is>
          <t>221-15-005</t>
        </is>
      </c>
      <c r="B9" s="7" t="inlineStr">
        <is>
          <t>Tanvir Ahmed</t>
        </is>
      </c>
      <c r="C9" s="6" t="n">
        <v>6.5</v>
      </c>
      <c r="D9" s="6" t="n">
        <v>4.3</v>
      </c>
      <c r="E9" s="6" t="n">
        <v>4.8</v>
      </c>
      <c r="F9" s="6" t="n">
        <v>4.4</v>
      </c>
      <c r="G9" s="6" t="n">
        <v>4.2</v>
      </c>
      <c r="H9" s="6" t="n">
        <v>7.5</v>
      </c>
      <c r="I9" s="6" t="n">
        <v>22.3</v>
      </c>
      <c r="J9" s="6" t="inlineStr">
        <is>
          <t>—</t>
        </is>
      </c>
      <c r="K9" s="6" t="n">
        <v>37.5</v>
      </c>
      <c r="L9" s="6">
        <f>SUM(C9:K9)-J9</f>
        <v/>
      </c>
      <c r="M9" s="6">
        <f>ROUND((C9+D9+E9+F9)/27*100,1)</f>
        <v/>
      </c>
      <c r="N9" s="6">
        <f>ROUND((G9+H9+I9)/38*100,1)</f>
        <v/>
      </c>
      <c r="O9" s="6">
        <f>ROUND(K9/40*100,1)</f>
        <v/>
      </c>
      <c r="P9" s="6" t="inlineStr">
        <is>
          <t>A+</t>
        </is>
      </c>
      <c r="Q9" s="6" t="n">
        <v>4</v>
      </c>
      <c r="R9" s="19" t="inlineStr">
        <is>
          <t>PASS</t>
        </is>
      </c>
    </row>
    <row r="10">
      <c r="A10" s="6" t="inlineStr">
        <is>
          <t>221-15-006</t>
        </is>
      </c>
      <c r="B10" s="7" t="inlineStr">
        <is>
          <t>Sadia Islam</t>
        </is>
      </c>
      <c r="C10" s="6" t="n">
        <v>6.2</v>
      </c>
      <c r="D10" s="6" t="n">
        <v>4.4</v>
      </c>
      <c r="E10" s="6" t="n">
        <v>4.7</v>
      </c>
      <c r="F10" s="6" t="n">
        <v>4.4</v>
      </c>
      <c r="G10" s="6" t="n">
        <v>4.6</v>
      </c>
      <c r="H10" s="6" t="n">
        <v>7.4</v>
      </c>
      <c r="I10" s="6" t="n">
        <v>22.3</v>
      </c>
      <c r="J10" s="6" t="inlineStr">
        <is>
          <t>—</t>
        </is>
      </c>
      <c r="K10" s="6" t="n">
        <v>36.3</v>
      </c>
      <c r="L10" s="6">
        <f>SUM(C10:K10)-J10</f>
        <v/>
      </c>
      <c r="M10" s="6">
        <f>ROUND((C10+D10+E10+F10)/27*100,1)</f>
        <v/>
      </c>
      <c r="N10" s="6">
        <f>ROUND((G10+H10+I10)/38*100,1)</f>
        <v/>
      </c>
      <c r="O10" s="6">
        <f>ROUND(K10/40*100,1)</f>
        <v/>
      </c>
      <c r="P10" s="6" t="inlineStr">
        <is>
          <t>A+</t>
        </is>
      </c>
      <c r="Q10" s="6" t="n">
        <v>4</v>
      </c>
      <c r="R10" s="19" t="inlineStr">
        <is>
          <t>PASS</t>
        </is>
      </c>
    </row>
    <row r="11">
      <c r="A11" s="6" t="inlineStr">
        <is>
          <t>221-15-007</t>
        </is>
      </c>
      <c r="B11" s="7" t="inlineStr">
        <is>
          <t>Rakibul Islam</t>
        </is>
      </c>
      <c r="C11" s="6" t="n">
        <v>6.5</v>
      </c>
      <c r="D11" s="6" t="n">
        <v>4.6</v>
      </c>
      <c r="E11" s="6" t="n">
        <v>4.7</v>
      </c>
      <c r="F11" s="6" t="n">
        <v>4.7</v>
      </c>
      <c r="G11" s="6" t="n">
        <v>4.3</v>
      </c>
      <c r="H11" s="6" t="n">
        <v>7.1</v>
      </c>
      <c r="I11" s="6" t="n">
        <v>22.4</v>
      </c>
      <c r="J11" s="6" t="inlineStr">
        <is>
          <t>—</t>
        </is>
      </c>
      <c r="K11" s="6" t="n">
        <v>32.8</v>
      </c>
      <c r="L11" s="6">
        <f>SUM(C11:K11)-J11</f>
        <v/>
      </c>
      <c r="M11" s="6">
        <f>ROUND((C11+D11+E11+F11)/27*100,1)</f>
        <v/>
      </c>
      <c r="N11" s="6">
        <f>ROUND((G11+H11+I11)/38*100,1)</f>
        <v/>
      </c>
      <c r="O11" s="6">
        <f>ROUND(K11/40*100,1)</f>
        <v/>
      </c>
      <c r="P11" s="6" t="inlineStr">
        <is>
          <t>A+</t>
        </is>
      </c>
      <c r="Q11" s="6" t="n">
        <v>4</v>
      </c>
      <c r="R11" s="19" t="inlineStr">
        <is>
          <t>PASS</t>
        </is>
      </c>
    </row>
    <row r="12">
      <c r="A12" s="6" t="inlineStr">
        <is>
          <t>221-15-008</t>
        </is>
      </c>
      <c r="B12" s="7" t="inlineStr">
        <is>
          <t>Moriom Begum</t>
        </is>
      </c>
      <c r="C12" s="6" t="n">
        <v>6.2</v>
      </c>
      <c r="D12" s="6" t="n">
        <v>4.2</v>
      </c>
      <c r="E12" s="6" t="n">
        <v>4.3</v>
      </c>
      <c r="F12" s="6" t="n">
        <v>4.5</v>
      </c>
      <c r="G12" s="6" t="n">
        <v>4.5</v>
      </c>
      <c r="H12" s="6" t="n">
        <v>6.7</v>
      </c>
      <c r="I12" s="6" t="n">
        <v>21</v>
      </c>
      <c r="J12" s="6" t="inlineStr">
        <is>
          <t>—</t>
        </is>
      </c>
      <c r="K12" s="6" t="n">
        <v>36.2</v>
      </c>
      <c r="L12" s="6">
        <f>SUM(C12:K12)-J12</f>
        <v/>
      </c>
      <c r="M12" s="6">
        <f>ROUND((C12+D12+E12+F12)/27*100,1)</f>
        <v/>
      </c>
      <c r="N12" s="6">
        <f>ROUND((G12+H12+I12)/38*100,1)</f>
        <v/>
      </c>
      <c r="O12" s="6">
        <f>ROUND(K12/40*100,1)</f>
        <v/>
      </c>
      <c r="P12" s="6" t="inlineStr">
        <is>
          <t>A+</t>
        </is>
      </c>
      <c r="Q12" s="6" t="n">
        <v>4</v>
      </c>
      <c r="R12" s="19" t="inlineStr">
        <is>
          <t>PASS</t>
        </is>
      </c>
    </row>
    <row r="13">
      <c r="A13" s="4" t="inlineStr">
        <is>
          <t>221-15-009</t>
        </is>
      </c>
      <c r="B13" s="5" t="inlineStr">
        <is>
          <t>Imran Khan</t>
        </is>
      </c>
      <c r="C13" s="4" t="n">
        <v>4.6</v>
      </c>
      <c r="D13" s="4" t="n">
        <v>3.2</v>
      </c>
      <c r="E13" s="4" t="n">
        <v>3.6</v>
      </c>
      <c r="F13" s="4" t="n">
        <v>3.5</v>
      </c>
      <c r="G13" s="4" t="n">
        <v>3.6</v>
      </c>
      <c r="H13" s="4" t="n">
        <v>5.4</v>
      </c>
      <c r="I13" s="4" t="n">
        <v>17.1</v>
      </c>
      <c r="J13" s="4" t="inlineStr">
        <is>
          <t>—</t>
        </is>
      </c>
      <c r="K13" s="4" t="n">
        <v>26.8</v>
      </c>
      <c r="L13" s="4">
        <f>SUM(C13:K13)-J13</f>
        <v/>
      </c>
      <c r="M13" s="4">
        <f>ROUND((C13+D13+E13+F13)/27*100,1)</f>
        <v/>
      </c>
      <c r="N13" s="4">
        <f>ROUND((G13+H13+I13)/38*100,1)</f>
        <v/>
      </c>
      <c r="O13" s="4">
        <f>ROUND(K13/40*100,1)</f>
        <v/>
      </c>
      <c r="P13" s="4" t="inlineStr">
        <is>
          <t>B+</t>
        </is>
      </c>
      <c r="Q13" s="4" t="n">
        <v>3.25</v>
      </c>
      <c r="R13" s="19" t="inlineStr">
        <is>
          <t>PASS</t>
        </is>
      </c>
    </row>
    <row r="14">
      <c r="A14" s="4" t="inlineStr">
        <is>
          <t>221-15-010</t>
        </is>
      </c>
      <c r="B14" s="5" t="inlineStr">
        <is>
          <t>Sharmin Akter</t>
        </is>
      </c>
      <c r="C14" s="4" t="n">
        <v>4.9</v>
      </c>
      <c r="D14" s="4" t="n">
        <v>3.2</v>
      </c>
      <c r="E14" s="4" t="n">
        <v>3.1</v>
      </c>
      <c r="F14" s="4" t="n">
        <v>3.4</v>
      </c>
      <c r="G14" s="4" t="n">
        <v>3.4</v>
      </c>
      <c r="H14" s="4" t="n">
        <v>5.5</v>
      </c>
      <c r="I14" s="4" t="n">
        <v>17.6</v>
      </c>
      <c r="J14" s="4" t="inlineStr">
        <is>
          <t>—</t>
        </is>
      </c>
      <c r="K14" s="4" t="n">
        <v>24.7</v>
      </c>
      <c r="L14" s="4">
        <f>SUM(C14:K14)-J14</f>
        <v/>
      </c>
      <c r="M14" s="4">
        <f>ROUND((C14+D14+E14+F14)/27*100,1)</f>
        <v/>
      </c>
      <c r="N14" s="4">
        <f>ROUND((G14+H14+I14)/38*100,1)</f>
        <v/>
      </c>
      <c r="O14" s="4">
        <f>ROUND(K14/40*100,1)</f>
        <v/>
      </c>
      <c r="P14" s="4" t="inlineStr">
        <is>
          <t>B+</t>
        </is>
      </c>
      <c r="Q14" s="4" t="n">
        <v>3.25</v>
      </c>
      <c r="R14" s="19" t="inlineStr">
        <is>
          <t>PASS</t>
        </is>
      </c>
    </row>
    <row r="15">
      <c r="A15" s="4" t="inlineStr">
        <is>
          <t>221-15-011</t>
        </is>
      </c>
      <c r="B15" s="5" t="inlineStr">
        <is>
          <t>Nazmul Huda</t>
        </is>
      </c>
      <c r="C15" s="4" t="n">
        <v>4.7</v>
      </c>
      <c r="D15" s="4" t="n">
        <v>3</v>
      </c>
      <c r="E15" s="4" t="n">
        <v>3.3</v>
      </c>
      <c r="F15" s="4" t="n">
        <v>3.4</v>
      </c>
      <c r="G15" s="4" t="n">
        <v>3.6</v>
      </c>
      <c r="H15" s="4" t="n">
        <v>5</v>
      </c>
      <c r="I15" s="4" t="n">
        <v>14.6</v>
      </c>
      <c r="J15" s="4" t="inlineStr">
        <is>
          <t>—</t>
        </is>
      </c>
      <c r="K15" s="4" t="n">
        <v>27.4</v>
      </c>
      <c r="L15" s="4">
        <f>SUM(C15:K15)-J15</f>
        <v/>
      </c>
      <c r="M15" s="4">
        <f>ROUND((C15+D15+E15+F15)/27*100,1)</f>
        <v/>
      </c>
      <c r="N15" s="4">
        <f>ROUND((G15+H15+I15)/38*100,1)</f>
        <v/>
      </c>
      <c r="O15" s="4">
        <f>ROUND(K15/40*100,1)</f>
        <v/>
      </c>
      <c r="P15" s="4" t="inlineStr">
        <is>
          <t>B+</t>
        </is>
      </c>
      <c r="Q15" s="4" t="n">
        <v>3.25</v>
      </c>
      <c r="R15" s="19" t="inlineStr">
        <is>
          <t>PASS</t>
        </is>
      </c>
    </row>
    <row r="16">
      <c r="A16" s="4" t="inlineStr">
        <is>
          <t>221-15-012</t>
        </is>
      </c>
      <c r="B16" s="5" t="inlineStr">
        <is>
          <t>Puja Rani</t>
        </is>
      </c>
      <c r="C16" s="4" t="n">
        <v>4.7</v>
      </c>
      <c r="D16" s="4" t="n">
        <v>3</v>
      </c>
      <c r="E16" s="4" t="n">
        <v>3.1</v>
      </c>
      <c r="F16" s="4" t="n">
        <v>3.5</v>
      </c>
      <c r="G16" s="4" t="n">
        <v>3.6</v>
      </c>
      <c r="H16" s="4" t="n">
        <v>5</v>
      </c>
      <c r="I16" s="4" t="n">
        <v>18.6</v>
      </c>
      <c r="J16" s="4" t="inlineStr">
        <is>
          <t>—</t>
        </is>
      </c>
      <c r="K16" s="4" t="n">
        <v>24.2</v>
      </c>
      <c r="L16" s="4">
        <f>SUM(C16:K16)-J16</f>
        <v/>
      </c>
      <c r="M16" s="4">
        <f>ROUND((C16+D16+E16+F16)/27*100,1)</f>
        <v/>
      </c>
      <c r="N16" s="4">
        <f>ROUND((G16+H16+I16)/38*100,1)</f>
        <v/>
      </c>
      <c r="O16" s="4">
        <f>ROUND(K16/40*100,1)</f>
        <v/>
      </c>
      <c r="P16" s="4" t="inlineStr">
        <is>
          <t>B+</t>
        </is>
      </c>
      <c r="Q16" s="4" t="n">
        <v>3.25</v>
      </c>
      <c r="R16" s="19" t="inlineStr">
        <is>
          <t>PASS</t>
        </is>
      </c>
    </row>
    <row r="17">
      <c r="A17" s="4" t="inlineStr">
        <is>
          <t>221-15-013</t>
        </is>
      </c>
      <c r="B17" s="5" t="inlineStr">
        <is>
          <t>Sabbir Rahman</t>
        </is>
      </c>
      <c r="C17" s="4" t="n">
        <v>5.2</v>
      </c>
      <c r="D17" s="4" t="n">
        <v>3.6</v>
      </c>
      <c r="E17" s="4" t="n">
        <v>3</v>
      </c>
      <c r="F17" s="4" t="n">
        <v>3.8</v>
      </c>
      <c r="G17" s="4" t="n">
        <v>3.1</v>
      </c>
      <c r="H17" s="4" t="n">
        <v>5.7</v>
      </c>
      <c r="I17" s="4" t="n">
        <v>18.1</v>
      </c>
      <c r="J17" s="4" t="inlineStr">
        <is>
          <t>—</t>
        </is>
      </c>
      <c r="K17" s="4" t="n">
        <v>23.8</v>
      </c>
      <c r="L17" s="4">
        <f>SUM(C17:K17)-J17</f>
        <v/>
      </c>
      <c r="M17" s="4">
        <f>ROUND((C17+D17+E17+F17)/27*100,1)</f>
        <v/>
      </c>
      <c r="N17" s="4">
        <f>ROUND((G17+H17+I17)/38*100,1)</f>
        <v/>
      </c>
      <c r="O17" s="4">
        <f>ROUND(K17/40*100,1)</f>
        <v/>
      </c>
      <c r="P17" s="4" t="inlineStr">
        <is>
          <t>B+</t>
        </is>
      </c>
      <c r="Q17" s="4" t="n">
        <v>3.25</v>
      </c>
      <c r="R17" s="19" t="inlineStr">
        <is>
          <t>PASS</t>
        </is>
      </c>
    </row>
    <row r="18">
      <c r="A18" s="4" t="inlineStr">
        <is>
          <t>221-15-014</t>
        </is>
      </c>
      <c r="B18" s="5" t="inlineStr">
        <is>
          <t>Tania Sultana</t>
        </is>
      </c>
      <c r="C18" s="4" t="n">
        <v>5.1</v>
      </c>
      <c r="D18" s="4" t="n">
        <v>3.1</v>
      </c>
      <c r="E18" s="4" t="n">
        <v>3.3</v>
      </c>
      <c r="F18" s="4" t="n">
        <v>3.6</v>
      </c>
      <c r="G18" s="4" t="n">
        <v>3.6</v>
      </c>
      <c r="H18" s="4" t="n">
        <v>5.6</v>
      </c>
      <c r="I18" s="4" t="n">
        <v>17.1</v>
      </c>
      <c r="J18" s="4" t="inlineStr">
        <is>
          <t>—</t>
        </is>
      </c>
      <c r="K18" s="4" t="n">
        <v>24.8</v>
      </c>
      <c r="L18" s="4">
        <f>SUM(C18:K18)-J18</f>
        <v/>
      </c>
      <c r="M18" s="4">
        <f>ROUND((C18+D18+E18+F18)/27*100,1)</f>
        <v/>
      </c>
      <c r="N18" s="4">
        <f>ROUND((G18+H18+I18)/38*100,1)</f>
        <v/>
      </c>
      <c r="O18" s="4">
        <f>ROUND(K18/40*100,1)</f>
        <v/>
      </c>
      <c r="P18" s="4" t="inlineStr">
        <is>
          <t>B+</t>
        </is>
      </c>
      <c r="Q18" s="4" t="n">
        <v>3.25</v>
      </c>
      <c r="R18" s="19" t="inlineStr">
        <is>
          <t>PASS</t>
        </is>
      </c>
    </row>
    <row r="19">
      <c r="A19" s="4" t="inlineStr">
        <is>
          <t>221-15-015</t>
        </is>
      </c>
      <c r="B19" s="5" t="inlineStr">
        <is>
          <t>Arif Billah</t>
        </is>
      </c>
      <c r="C19" s="4" t="n">
        <v>5.5</v>
      </c>
      <c r="D19" s="4" t="n">
        <v>3.2</v>
      </c>
      <c r="E19" s="4" t="n">
        <v>3.5</v>
      </c>
      <c r="F19" s="4" t="n">
        <v>3.4</v>
      </c>
      <c r="G19" s="4" t="n">
        <v>3.2</v>
      </c>
      <c r="H19" s="4" t="n">
        <v>5.3</v>
      </c>
      <c r="I19" s="4" t="n">
        <v>15.7</v>
      </c>
      <c r="J19" s="4" t="inlineStr">
        <is>
          <t>—</t>
        </is>
      </c>
      <c r="K19" s="4" t="n">
        <v>23.7</v>
      </c>
      <c r="L19" s="4">
        <f>SUM(C19:K19)-J19</f>
        <v/>
      </c>
      <c r="M19" s="4">
        <f>ROUND((C19+D19+E19+F19)/27*100,1)</f>
        <v/>
      </c>
      <c r="N19" s="4">
        <f>ROUND((G19+H19+I19)/38*100,1)</f>
        <v/>
      </c>
      <c r="O19" s="4">
        <f>ROUND(K19/40*100,1)</f>
        <v/>
      </c>
      <c r="P19" s="4" t="inlineStr">
        <is>
          <t>B</t>
        </is>
      </c>
      <c r="Q19" s="4" t="n">
        <v>3</v>
      </c>
      <c r="R19" s="19" t="inlineStr">
        <is>
          <t>PASS</t>
        </is>
      </c>
    </row>
    <row r="20">
      <c r="A20" s="4" t="inlineStr">
        <is>
          <t>221-15-016</t>
        </is>
      </c>
      <c r="B20" s="5" t="inlineStr">
        <is>
          <t>Roksana Parvin</t>
        </is>
      </c>
      <c r="C20" s="4" t="n">
        <v>5.6</v>
      </c>
      <c r="D20" s="4" t="n">
        <v>3.2</v>
      </c>
      <c r="E20" s="4" t="n">
        <v>3.4</v>
      </c>
      <c r="F20" s="4" t="n">
        <v>3.5</v>
      </c>
      <c r="G20" s="4" t="n">
        <v>3.5</v>
      </c>
      <c r="H20" s="4" t="n">
        <v>5.2</v>
      </c>
      <c r="I20" s="4" t="n">
        <v>16</v>
      </c>
      <c r="J20" s="4" t="inlineStr">
        <is>
          <t>—</t>
        </is>
      </c>
      <c r="K20" s="4" t="n">
        <v>28.8</v>
      </c>
      <c r="L20" s="4">
        <f>SUM(C20:K20)-J20</f>
        <v/>
      </c>
      <c r="M20" s="4">
        <f>ROUND((C20+D20+E20+F20)/27*100,1)</f>
        <v/>
      </c>
      <c r="N20" s="4">
        <f>ROUND((G20+H20+I20)/38*100,1)</f>
        <v/>
      </c>
      <c r="O20" s="4">
        <f>ROUND(K20/40*100,1)</f>
        <v/>
      </c>
      <c r="P20" s="4" t="inlineStr">
        <is>
          <t>B+</t>
        </is>
      </c>
      <c r="Q20" s="4" t="n">
        <v>3.25</v>
      </c>
      <c r="R20" s="19" t="inlineStr">
        <is>
          <t>PASS</t>
        </is>
      </c>
    </row>
    <row r="21">
      <c r="A21" s="4" t="inlineStr">
        <is>
          <t>221-15-017</t>
        </is>
      </c>
      <c r="B21" s="5" t="inlineStr">
        <is>
          <t>Jakir Hossain</t>
        </is>
      </c>
      <c r="C21" s="4" t="n">
        <v>5.6</v>
      </c>
      <c r="D21" s="4" t="n">
        <v>3.8</v>
      </c>
      <c r="E21" s="4" t="n">
        <v>3.7</v>
      </c>
      <c r="F21" s="4" t="n">
        <v>3</v>
      </c>
      <c r="G21" s="4" t="n">
        <v>3.7</v>
      </c>
      <c r="H21" s="4" t="n">
        <v>5.1</v>
      </c>
      <c r="I21" s="4" t="n">
        <v>17.8</v>
      </c>
      <c r="J21" s="4" t="inlineStr">
        <is>
          <t>—</t>
        </is>
      </c>
      <c r="K21" s="4" t="n">
        <v>26.8</v>
      </c>
      <c r="L21" s="4">
        <f>SUM(C21:K21)-J21</f>
        <v/>
      </c>
      <c r="M21" s="4">
        <f>ROUND((C21+D21+E21+F21)/27*100,1)</f>
        <v/>
      </c>
      <c r="N21" s="4">
        <f>ROUND((G21+H21+I21)/38*100,1)</f>
        <v/>
      </c>
      <c r="O21" s="4">
        <f>ROUND(K21/40*100,1)</f>
        <v/>
      </c>
      <c r="P21" s="4" t="inlineStr">
        <is>
          <t>B+</t>
        </is>
      </c>
      <c r="Q21" s="4" t="n">
        <v>3.25</v>
      </c>
      <c r="R21" s="19" t="inlineStr">
        <is>
          <t>PASS</t>
        </is>
      </c>
    </row>
    <row r="22">
      <c r="A22" s="4" t="inlineStr">
        <is>
          <t>221-15-018</t>
        </is>
      </c>
      <c r="B22" s="5" t="inlineStr">
        <is>
          <t>Masum Billah</t>
        </is>
      </c>
      <c r="C22" s="4" t="n">
        <v>4.6</v>
      </c>
      <c r="D22" s="4" t="n">
        <v>3.4</v>
      </c>
      <c r="E22" s="4" t="n">
        <v>3</v>
      </c>
      <c r="F22" s="4" t="n">
        <v>3.1</v>
      </c>
      <c r="G22" s="4" t="n">
        <v>3.2</v>
      </c>
      <c r="H22" s="4" t="n">
        <v>5.8</v>
      </c>
      <c r="I22" s="4" t="n">
        <v>14.8</v>
      </c>
      <c r="J22" s="4" t="inlineStr">
        <is>
          <t>—</t>
        </is>
      </c>
      <c r="K22" s="4" t="n">
        <v>29.1</v>
      </c>
      <c r="L22" s="4">
        <f>SUM(C22:K22)-J22</f>
        <v/>
      </c>
      <c r="M22" s="4">
        <f>ROUND((C22+D22+E22+F22)/27*100,1)</f>
        <v/>
      </c>
      <c r="N22" s="4">
        <f>ROUND((G22+H22+I22)/38*100,1)</f>
        <v/>
      </c>
      <c r="O22" s="4">
        <f>ROUND(K22/40*100,1)</f>
        <v/>
      </c>
      <c r="P22" s="4" t="inlineStr">
        <is>
          <t>B+</t>
        </is>
      </c>
      <c r="Q22" s="4" t="n">
        <v>3.25</v>
      </c>
      <c r="R22" s="19" t="inlineStr">
        <is>
          <t>PASS</t>
        </is>
      </c>
    </row>
    <row r="23">
      <c r="A23" s="4" t="inlineStr">
        <is>
          <t>221-15-019</t>
        </is>
      </c>
      <c r="B23" s="5" t="inlineStr">
        <is>
          <t>Sumaiya Akter</t>
        </is>
      </c>
      <c r="C23" s="4" t="n">
        <v>5.6</v>
      </c>
      <c r="D23" s="4" t="n">
        <v>3</v>
      </c>
      <c r="E23" s="4" t="n">
        <v>3.5</v>
      </c>
      <c r="F23" s="4" t="n">
        <v>3.4</v>
      </c>
      <c r="G23" s="4" t="n">
        <v>3.2</v>
      </c>
      <c r="H23" s="4" t="n">
        <v>5.1</v>
      </c>
      <c r="I23" s="4" t="n">
        <v>17.6</v>
      </c>
      <c r="J23" s="4" t="inlineStr">
        <is>
          <t>—</t>
        </is>
      </c>
      <c r="K23" s="4" t="n">
        <v>27.6</v>
      </c>
      <c r="L23" s="4">
        <f>SUM(C23:K23)-J23</f>
        <v/>
      </c>
      <c r="M23" s="4">
        <f>ROUND((C23+D23+E23+F23)/27*100,1)</f>
        <v/>
      </c>
      <c r="N23" s="4">
        <f>ROUND((G23+H23+I23)/38*100,1)</f>
        <v/>
      </c>
      <c r="O23" s="4">
        <f>ROUND(K23/40*100,1)</f>
        <v/>
      </c>
      <c r="P23" s="4" t="inlineStr">
        <is>
          <t>B+</t>
        </is>
      </c>
      <c r="Q23" s="4" t="n">
        <v>3.25</v>
      </c>
      <c r="R23" s="19" t="inlineStr">
        <is>
          <t>PASS</t>
        </is>
      </c>
    </row>
    <row r="24">
      <c r="A24" s="4" t="inlineStr">
        <is>
          <t>221-15-020</t>
        </is>
      </c>
      <c r="B24" s="5" t="inlineStr">
        <is>
          <t>Rafiqul Islam</t>
        </is>
      </c>
      <c r="C24" s="4" t="n">
        <v>4.7</v>
      </c>
      <c r="D24" s="4" t="n">
        <v>2.9</v>
      </c>
      <c r="E24" s="4" t="n">
        <v>3.3</v>
      </c>
      <c r="F24" s="4" t="n">
        <v>3.4</v>
      </c>
      <c r="G24" s="4" t="n">
        <v>3.5</v>
      </c>
      <c r="H24" s="4" t="n">
        <v>5</v>
      </c>
      <c r="I24" s="4" t="n">
        <v>15.7</v>
      </c>
      <c r="J24" s="4" t="inlineStr">
        <is>
          <t>—</t>
        </is>
      </c>
      <c r="K24" s="4" t="n">
        <v>25.5</v>
      </c>
      <c r="L24" s="4">
        <f>SUM(C24:K24)-J24</f>
        <v/>
      </c>
      <c r="M24" s="4">
        <f>ROUND((C24+D24+E24+F24)/27*100,1)</f>
        <v/>
      </c>
      <c r="N24" s="4">
        <f>ROUND((G24+H24+I24)/38*100,1)</f>
        <v/>
      </c>
      <c r="O24" s="4">
        <f>ROUND(K24/40*100,1)</f>
        <v/>
      </c>
      <c r="P24" s="4" t="inlineStr">
        <is>
          <t>B</t>
        </is>
      </c>
      <c r="Q24" s="4" t="n">
        <v>3</v>
      </c>
      <c r="R24" s="19" t="inlineStr">
        <is>
          <t>PASS</t>
        </is>
      </c>
    </row>
    <row r="25">
      <c r="A25" s="20" t="inlineStr">
        <is>
          <t>221-15-021</t>
        </is>
      </c>
      <c r="B25" s="21" t="inlineStr">
        <is>
          <t>Milon Chandra</t>
        </is>
      </c>
      <c r="C25" s="20" t="n">
        <v>4</v>
      </c>
      <c r="D25" s="20" t="n">
        <v>1.9</v>
      </c>
      <c r="E25" s="20" t="n">
        <v>2.6</v>
      </c>
      <c r="F25" s="20" t="n">
        <v>2.7</v>
      </c>
      <c r="G25" s="20" t="n">
        <v>1.3</v>
      </c>
      <c r="H25" s="20" t="n">
        <v>2.1</v>
      </c>
      <c r="I25" s="20" t="n">
        <v>10.2</v>
      </c>
      <c r="J25" s="20" t="inlineStr">
        <is>
          <t>—</t>
        </is>
      </c>
      <c r="K25" s="20" t="n">
        <v>19.5</v>
      </c>
      <c r="L25" s="20">
        <f>SUM(C25:K25)-J25</f>
        <v/>
      </c>
      <c r="M25" s="20">
        <f>ROUND((C25+D25+E25+F25)/27*100,1)</f>
        <v/>
      </c>
      <c r="N25" s="20">
        <f>ROUND((G25+H25+I25)/38*100,1)</f>
        <v/>
      </c>
      <c r="O25" s="20">
        <f>ROUND(K25/40*100,1)</f>
        <v/>
      </c>
      <c r="P25" s="20" t="inlineStr">
        <is>
          <t>F</t>
        </is>
      </c>
      <c r="Q25" s="20" t="n">
        <v>0</v>
      </c>
      <c r="R25" s="22" t="inlineStr">
        <is>
          <t>FAIL</t>
        </is>
      </c>
    </row>
    <row r="26">
      <c r="A26" s="20" t="inlineStr">
        <is>
          <t>221-15-022</t>
        </is>
      </c>
      <c r="B26" s="21" t="inlineStr">
        <is>
          <t>Ritu Akter</t>
        </is>
      </c>
      <c r="C26" s="20" t="n">
        <v>3.5</v>
      </c>
      <c r="D26" s="20" t="n">
        <v>1.9</v>
      </c>
      <c r="E26" s="20" t="n">
        <v>1.5</v>
      </c>
      <c r="F26" s="20" t="n">
        <v>2.6</v>
      </c>
      <c r="G26" s="20" t="n">
        <v>2.2</v>
      </c>
      <c r="H26" s="20" t="n">
        <v>4</v>
      </c>
      <c r="I26" s="20" t="n">
        <v>12.4</v>
      </c>
      <c r="J26" s="20" t="inlineStr">
        <is>
          <t>—</t>
        </is>
      </c>
      <c r="K26" s="20" t="n">
        <v>13.6</v>
      </c>
      <c r="L26" s="20">
        <f>SUM(C26:K26)-J26</f>
        <v/>
      </c>
      <c r="M26" s="20">
        <f>ROUND((C26+D26+E26+F26)/27*100,1)</f>
        <v/>
      </c>
      <c r="N26" s="20">
        <f>ROUND((G26+H26+I26)/38*100,1)</f>
        <v/>
      </c>
      <c r="O26" s="20">
        <f>ROUND(K26/40*100,1)</f>
        <v/>
      </c>
      <c r="P26" s="20" t="inlineStr">
        <is>
          <t>F</t>
        </is>
      </c>
      <c r="Q26" s="20" t="n">
        <v>0</v>
      </c>
      <c r="R26" s="22" t="inlineStr">
        <is>
          <t>FAIL</t>
        </is>
      </c>
    </row>
    <row r="27">
      <c r="A27" s="20" t="inlineStr">
        <is>
          <t>221-15-023</t>
        </is>
      </c>
      <c r="B27" s="21" t="inlineStr">
        <is>
          <t>Sagor Mia</t>
        </is>
      </c>
      <c r="C27" s="20" t="n">
        <v>2.6</v>
      </c>
      <c r="D27" s="20" t="n">
        <v>1.3</v>
      </c>
      <c r="E27" s="20" t="n">
        <v>1.4</v>
      </c>
      <c r="F27" s="20" t="n">
        <v>2.5</v>
      </c>
      <c r="G27" s="20" t="n">
        <v>1.7</v>
      </c>
      <c r="H27" s="20" t="n">
        <v>3.9</v>
      </c>
      <c r="I27" s="20" t="n">
        <v>13.1</v>
      </c>
      <c r="J27" s="20" t="inlineStr">
        <is>
          <t>—</t>
        </is>
      </c>
      <c r="K27" s="20" t="n">
        <v>21.1</v>
      </c>
      <c r="L27" s="20">
        <f>SUM(C27:K27)-J27</f>
        <v/>
      </c>
      <c r="M27" s="20">
        <f>ROUND((C27+D27+E27+F27)/27*100,1)</f>
        <v/>
      </c>
      <c r="N27" s="20">
        <f>ROUND((G27+H27+I27)/38*100,1)</f>
        <v/>
      </c>
      <c r="O27" s="20">
        <f>ROUND(K27/40*100,1)</f>
        <v/>
      </c>
      <c r="P27" s="20" t="inlineStr">
        <is>
          <t>D</t>
        </is>
      </c>
      <c r="Q27" s="20" t="n">
        <v>2</v>
      </c>
      <c r="R27" s="22" t="inlineStr">
        <is>
          <t>FAIL</t>
        </is>
      </c>
    </row>
    <row r="28">
      <c r="A28" s="20" t="inlineStr">
        <is>
          <t>221-15-024</t>
        </is>
      </c>
      <c r="B28" s="21" t="inlineStr">
        <is>
          <t>Lipi Begum</t>
        </is>
      </c>
      <c r="C28" s="20" t="n">
        <v>2.8</v>
      </c>
      <c r="D28" s="20" t="n">
        <v>2.1</v>
      </c>
      <c r="E28" s="20" t="n">
        <v>2.6</v>
      </c>
      <c r="F28" s="20" t="n">
        <v>1.6</v>
      </c>
      <c r="G28" s="20" t="n">
        <v>1.8</v>
      </c>
      <c r="H28" s="20" t="n">
        <v>2.9</v>
      </c>
      <c r="I28" s="20" t="n">
        <v>11.9</v>
      </c>
      <c r="J28" s="20" t="inlineStr">
        <is>
          <t>—</t>
        </is>
      </c>
      <c r="K28" s="20" t="n">
        <v>8.4</v>
      </c>
      <c r="L28" s="20">
        <f>SUM(C28:K28)-J28</f>
        <v/>
      </c>
      <c r="M28" s="20">
        <f>ROUND((C28+D28+E28+F28)/27*100,1)</f>
        <v/>
      </c>
      <c r="N28" s="20">
        <f>ROUND((G28+H28+I28)/38*100,1)</f>
        <v/>
      </c>
      <c r="O28" s="20">
        <f>ROUND(K28/40*100,1)</f>
        <v/>
      </c>
      <c r="P28" s="20" t="inlineStr">
        <is>
          <t>F</t>
        </is>
      </c>
      <c r="Q28" s="20" t="n">
        <v>0</v>
      </c>
      <c r="R28" s="22" t="inlineStr">
        <is>
          <t>FAIL</t>
        </is>
      </c>
    </row>
    <row r="29">
      <c r="A29" s="20" t="inlineStr">
        <is>
          <t>221-15-025</t>
        </is>
      </c>
      <c r="B29" s="21" t="inlineStr">
        <is>
          <t>Sujon Ahmed</t>
        </is>
      </c>
      <c r="C29" s="20" t="n">
        <v>3.8</v>
      </c>
      <c r="D29" s="20" t="n">
        <v>2.1</v>
      </c>
      <c r="E29" s="20" t="n">
        <v>1.9</v>
      </c>
      <c r="F29" s="20" t="n">
        <v>1.7</v>
      </c>
      <c r="G29" s="20" t="n">
        <v>1.8</v>
      </c>
      <c r="H29" s="20" t="n">
        <v>2.6</v>
      </c>
      <c r="I29" s="20" t="n">
        <v>11.3</v>
      </c>
      <c r="J29" s="20" t="inlineStr">
        <is>
          <t>—</t>
        </is>
      </c>
      <c r="K29" s="20" t="n">
        <v>8</v>
      </c>
      <c r="L29" s="20">
        <f>SUM(C29:K29)-J29</f>
        <v/>
      </c>
      <c r="M29" s="20">
        <f>ROUND((C29+D29+E29+F29)/27*100,1)</f>
        <v/>
      </c>
      <c r="N29" s="20">
        <f>ROUND((G29+H29+I29)/38*100,1)</f>
        <v/>
      </c>
      <c r="O29" s="20">
        <f>ROUND(K29/40*100,1)</f>
        <v/>
      </c>
      <c r="P29" s="20" t="inlineStr">
        <is>
          <t>F</t>
        </is>
      </c>
      <c r="Q29" s="20" t="n">
        <v>0</v>
      </c>
      <c r="R29" s="22" t="inlineStr">
        <is>
          <t>FAIL</t>
        </is>
      </c>
    </row>
    <row r="30">
      <c r="A30" s="20" t="inlineStr">
        <is>
          <t>221-15-026</t>
        </is>
      </c>
      <c r="B30" s="21" t="inlineStr">
        <is>
          <t>Mithun Das</t>
        </is>
      </c>
      <c r="C30" s="20" t="n">
        <v>3.3</v>
      </c>
      <c r="D30" s="20" t="n">
        <v>1.7</v>
      </c>
      <c r="E30" s="20" t="n">
        <v>2.2</v>
      </c>
      <c r="F30" s="20" t="n">
        <v>1.3</v>
      </c>
      <c r="G30" s="20" t="n">
        <v>2.3</v>
      </c>
      <c r="H30" s="20" t="n">
        <v>4.3</v>
      </c>
      <c r="I30" s="20" t="n">
        <v>8.5</v>
      </c>
      <c r="J30" s="20" t="inlineStr">
        <is>
          <t>—</t>
        </is>
      </c>
      <c r="K30" s="20" t="n">
        <v>17.2</v>
      </c>
      <c r="L30" s="20">
        <f>SUM(C30:K30)-J30</f>
        <v/>
      </c>
      <c r="M30" s="20">
        <f>ROUND((C30+D30+E30+F30)/27*100,1)</f>
        <v/>
      </c>
      <c r="N30" s="20">
        <f>ROUND((G30+H30+I30)/38*100,1)</f>
        <v/>
      </c>
      <c r="O30" s="20">
        <f>ROUND(K30/40*100,1)</f>
        <v/>
      </c>
      <c r="P30" s="20" t="inlineStr">
        <is>
          <t>F</t>
        </is>
      </c>
      <c r="Q30" s="20" t="n">
        <v>0</v>
      </c>
      <c r="R30" s="22" t="inlineStr">
        <is>
          <t>FAIL</t>
        </is>
      </c>
    </row>
    <row r="31">
      <c r="A31" s="20" t="inlineStr">
        <is>
          <t>221-15-027</t>
        </is>
      </c>
      <c r="B31" s="21" t="inlineStr">
        <is>
          <t>Pinky Akter</t>
        </is>
      </c>
      <c r="C31" s="20" t="n">
        <v>1.8</v>
      </c>
      <c r="D31" s="20" t="n">
        <v>2.5</v>
      </c>
      <c r="E31" s="20" t="n">
        <v>1.8</v>
      </c>
      <c r="F31" s="20" t="n">
        <v>2.7</v>
      </c>
      <c r="G31" s="20" t="n">
        <v>1.7</v>
      </c>
      <c r="H31" s="20" t="n">
        <v>2.9</v>
      </c>
      <c r="I31" s="20" t="n">
        <v>7.3</v>
      </c>
      <c r="J31" s="20" t="inlineStr">
        <is>
          <t>—</t>
        </is>
      </c>
      <c r="K31" s="20" t="n">
        <v>9.9</v>
      </c>
      <c r="L31" s="20">
        <f>SUM(C31:K31)-J31</f>
        <v/>
      </c>
      <c r="M31" s="20">
        <f>ROUND((C31+D31+E31+F31)/27*100,1)</f>
        <v/>
      </c>
      <c r="N31" s="20">
        <f>ROUND((G31+H31+I31)/38*100,1)</f>
        <v/>
      </c>
      <c r="O31" s="20">
        <f>ROUND(K31/40*100,1)</f>
        <v/>
      </c>
      <c r="P31" s="20" t="inlineStr">
        <is>
          <t>F</t>
        </is>
      </c>
      <c r="Q31" s="20" t="n">
        <v>0</v>
      </c>
      <c r="R31" s="22" t="inlineStr">
        <is>
          <t>FAIL</t>
        </is>
      </c>
    </row>
    <row r="32">
      <c r="A32" s="20" t="inlineStr">
        <is>
          <t>221-15-028</t>
        </is>
      </c>
      <c r="B32" s="21" t="inlineStr">
        <is>
          <t>Karim Uddin</t>
        </is>
      </c>
      <c r="C32" s="20" t="n">
        <v>3.3</v>
      </c>
      <c r="D32" s="20" t="n">
        <v>1.6</v>
      </c>
      <c r="E32" s="20" t="n">
        <v>1.3</v>
      </c>
      <c r="F32" s="20" t="n">
        <v>2</v>
      </c>
      <c r="G32" s="20" t="n">
        <v>2</v>
      </c>
      <c r="H32" s="20" t="n">
        <v>4.3</v>
      </c>
      <c r="I32" s="20" t="n">
        <v>7.8</v>
      </c>
      <c r="J32" s="20" t="inlineStr">
        <is>
          <t>—</t>
        </is>
      </c>
      <c r="K32" s="20" t="n">
        <v>16.6</v>
      </c>
      <c r="L32" s="20">
        <f>SUM(C32:K32)-J32</f>
        <v/>
      </c>
      <c r="M32" s="20">
        <f>ROUND((C32+D32+E32+F32)/27*100,1)</f>
        <v/>
      </c>
      <c r="N32" s="20">
        <f>ROUND((G32+H32+I32)/38*100,1)</f>
        <v/>
      </c>
      <c r="O32" s="20">
        <f>ROUND(K32/40*100,1)</f>
        <v/>
      </c>
      <c r="P32" s="20" t="inlineStr">
        <is>
          <t>F</t>
        </is>
      </c>
      <c r="Q32" s="20" t="n">
        <v>0</v>
      </c>
      <c r="R32" s="22" t="inlineStr">
        <is>
          <t>FAIL</t>
        </is>
      </c>
    </row>
    <row r="33">
      <c r="A33" s="20" t="inlineStr">
        <is>
          <t>221-15-029</t>
        </is>
      </c>
      <c r="B33" s="21" t="inlineStr">
        <is>
          <t>Nasrin Akter</t>
        </is>
      </c>
      <c r="C33" s="20" t="n">
        <v>4.2</v>
      </c>
      <c r="D33" s="20" t="n">
        <v>1.9</v>
      </c>
      <c r="E33" s="20" t="n">
        <v>2.6</v>
      </c>
      <c r="F33" s="20" t="n">
        <v>1.5</v>
      </c>
      <c r="G33" s="20" t="n">
        <v>2.3</v>
      </c>
      <c r="H33" s="20" t="n">
        <v>4</v>
      </c>
      <c r="I33" s="20" t="n">
        <v>8</v>
      </c>
      <c r="J33" s="20" t="inlineStr">
        <is>
          <t>—</t>
        </is>
      </c>
      <c r="K33" s="20" t="n">
        <v>13.9</v>
      </c>
      <c r="L33" s="20">
        <f>SUM(C33:K33)-J33</f>
        <v/>
      </c>
      <c r="M33" s="20">
        <f>ROUND((C33+D33+E33+F33)/27*100,1)</f>
        <v/>
      </c>
      <c r="N33" s="20">
        <f>ROUND((G33+H33+I33)/38*100,1)</f>
        <v/>
      </c>
      <c r="O33" s="20">
        <f>ROUND(K33/40*100,1)</f>
        <v/>
      </c>
      <c r="P33" s="20" t="inlineStr">
        <is>
          <t>F</t>
        </is>
      </c>
      <c r="Q33" s="20" t="n">
        <v>0</v>
      </c>
      <c r="R33" s="22" t="inlineStr">
        <is>
          <t>FAIL</t>
        </is>
      </c>
    </row>
    <row r="34">
      <c r="A34" s="20" t="inlineStr">
        <is>
          <t>221-15-030</t>
        </is>
      </c>
      <c r="B34" s="21" t="inlineStr">
        <is>
          <t>Belal Hossain</t>
        </is>
      </c>
      <c r="C34" s="20" t="n">
        <v>3</v>
      </c>
      <c r="D34" s="20" t="n">
        <v>1.5</v>
      </c>
      <c r="E34" s="20" t="n">
        <v>2.2</v>
      </c>
      <c r="F34" s="20" t="n">
        <v>2.3</v>
      </c>
      <c r="G34" s="20" t="n">
        <v>1.6</v>
      </c>
      <c r="H34" s="20" t="n">
        <v>3.2</v>
      </c>
      <c r="I34" s="20" t="n">
        <v>12.4</v>
      </c>
      <c r="J34" s="20" t="inlineStr">
        <is>
          <t>—</t>
        </is>
      </c>
      <c r="K34" s="20" t="n">
        <v>12.5</v>
      </c>
      <c r="L34" s="20">
        <f>SUM(C34:K34)-J34</f>
        <v/>
      </c>
      <c r="M34" s="20">
        <f>ROUND((C34+D34+E34+F34)/27*100,1)</f>
        <v/>
      </c>
      <c r="N34" s="20">
        <f>ROUND((G34+H34+I34)/38*100,1)</f>
        <v/>
      </c>
      <c r="O34" s="20">
        <f>ROUND(K34/40*100,1)</f>
        <v/>
      </c>
      <c r="P34" s="20" t="inlineStr">
        <is>
          <t>F</t>
        </is>
      </c>
      <c r="Q34" s="20" t="n">
        <v>0</v>
      </c>
      <c r="R34" s="22" t="inlineStr">
        <is>
          <t>FAIL</t>
        </is>
      </c>
    </row>
    <row r="35">
      <c r="A35" s="18" t="inlineStr">
        <is>
          <t>CLASS AVERAGE</t>
        </is>
      </c>
      <c r="C35" s="23">
        <f>AVERAGE(C5:C34)</f>
        <v/>
      </c>
      <c r="D35" s="23">
        <f>AVERAGE(D5:D34)</f>
        <v/>
      </c>
      <c r="E35" s="23">
        <f>AVERAGE(E5:E34)</f>
        <v/>
      </c>
      <c r="F35" s="23">
        <f>AVERAGE(F5:F34)</f>
        <v/>
      </c>
      <c r="G35" s="23">
        <f>AVERAGE(G5:G34)</f>
        <v/>
      </c>
      <c r="H35" s="23">
        <f>AVERAGE(H5:H34)</f>
        <v/>
      </c>
      <c r="I35" s="23">
        <f>AVERAGE(I5:I34)</f>
        <v/>
      </c>
      <c r="J35" s="23" t="inlineStr">
        <is>
          <t>—</t>
        </is>
      </c>
      <c r="K35" s="23">
        <f>AVERAGE(K5:K34)</f>
        <v/>
      </c>
      <c r="L35" s="23">
        <f>AVERAGE(L5:L34)</f>
        <v/>
      </c>
      <c r="M35" s="23">
        <f>AVERAGE(M5:M34)</f>
        <v/>
      </c>
      <c r="N35" s="23">
        <f>AVERAGE(N5:N34)</f>
        <v/>
      </c>
      <c r="O35" s="23">
        <f>AVERAGE(O5:O34)</f>
        <v/>
      </c>
      <c r="P35" s="23" t="inlineStr">
        <is>
          <t>—</t>
        </is>
      </c>
      <c r="Q35" s="23">
        <f>AVERAGE(Q5:Q34)</f>
        <v/>
      </c>
      <c r="R35" s="23">
        <f>COUNTIF(R5:R34,"PASS")&amp;" / 30"</f>
        <v/>
      </c>
    </row>
  </sheetData>
  <mergeCells count="7">
    <mergeCell ref="K3"/>
    <mergeCell ref="C3:F3"/>
    <mergeCell ref="G3:J3"/>
    <mergeCell ref="O3:R3"/>
    <mergeCell ref="A1:R1"/>
    <mergeCell ref="L3:N3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1" customWidth="1" min="11" max="11"/>
    <col width="11" customWidth="1" min="12" max="12"/>
    <col width="6" customWidth="1" min="13" max="13"/>
    <col width="10" customWidth="1" min="14" max="14"/>
    <col width="9" customWidth="1" min="15" max="15"/>
    <col width="9" customWidth="1" min="16" max="16"/>
    <col width="9" customWidth="1" min="17" max="17"/>
  </cols>
  <sheetData>
    <row r="1" ht="40" customHeight="1">
      <c r="A1" s="24" t="inlineStr">
        <is>
          <t>CSE312 — Database Management System Lab | Student Marks | Summer 2025</t>
        </is>
      </c>
    </row>
    <row r="3">
      <c r="C3" s="25" t="inlineStr">
        <is>
          <t>CO1 — Implement SQL/DB (PO3) | 40 marks</t>
        </is>
      </c>
      <c r="H3" s="15" t="inlineStr">
        <is>
          <t>CO2 — Security/Dist DB (PO5) | 40 marks</t>
        </is>
      </c>
      <c r="L3" s="16" t="inlineStr">
        <is>
          <t>CO3 — Team (PO9) | 10 marks</t>
        </is>
      </c>
      <c r="N3" s="17" t="inlineStr">
        <is>
          <t>Computed &amp; Grade</t>
        </is>
      </c>
    </row>
    <row r="4">
      <c r="A4" s="26" t="inlineStr">
        <is>
          <t>Student ID</t>
        </is>
      </c>
      <c r="B4" s="26" t="inlineStr">
        <is>
          <t>Student Name</t>
        </is>
      </c>
      <c r="C4" s="26" t="inlineStr">
        <is>
          <t>Attend(10)</t>
        </is>
      </c>
      <c r="D4" s="26" t="inlineStr">
        <is>
          <t>LP-SQL(5)</t>
        </is>
      </c>
      <c r="E4" s="26" t="inlineStr">
        <is>
          <t>LP-CRUD(5)</t>
        </is>
      </c>
      <c r="F4" s="26" t="inlineStr">
        <is>
          <t>LP-Join(5)</t>
        </is>
      </c>
      <c r="G4" s="26" t="inlineStr">
        <is>
          <t>Rpt1(12)</t>
        </is>
      </c>
      <c r="H4" s="26" t="inlineStr">
        <is>
          <t>LP-Sec(5)</t>
        </is>
      </c>
      <c r="I4" s="26" t="inlineStr">
        <is>
          <t>LP-NoSQL(5)</t>
        </is>
      </c>
      <c r="J4" s="26" t="inlineStr">
        <is>
          <t>Rpt2(13)</t>
        </is>
      </c>
      <c r="K4" s="26" t="inlineStr">
        <is>
          <t>Proj-Sec(20)</t>
        </is>
      </c>
      <c r="L4" s="26" t="inlineStr">
        <is>
          <t>Proj-Team(10)</t>
        </is>
      </c>
      <c r="M4" s="26" t="inlineStr">
        <is>
          <t>—</t>
        </is>
      </c>
      <c r="N4" s="26" t="inlineStr">
        <is>
          <t>Total/100</t>
        </is>
      </c>
      <c r="O4" s="26" t="inlineStr">
        <is>
          <t>CO1 %</t>
        </is>
      </c>
      <c r="P4" s="26" t="inlineStr">
        <is>
          <t>CO2 %</t>
        </is>
      </c>
      <c r="Q4" s="26" t="inlineStr">
        <is>
          <t>CO3 %</t>
        </is>
      </c>
    </row>
    <row r="5">
      <c r="A5" s="6" t="inlineStr">
        <is>
          <t>221-15-001</t>
        </is>
      </c>
      <c r="B5" s="7" t="inlineStr">
        <is>
          <t>Arafat Hossain</t>
        </is>
      </c>
      <c r="C5" s="6" t="n">
        <v>9.199999999999999</v>
      </c>
      <c r="D5" s="6" t="n">
        <v>4.3</v>
      </c>
      <c r="E5" s="6" t="n">
        <v>4</v>
      </c>
      <c r="F5" s="6" t="n">
        <v>4.2</v>
      </c>
      <c r="G5" s="6" t="n">
        <v>9.5</v>
      </c>
      <c r="H5" s="6" t="n">
        <v>4.3</v>
      </c>
      <c r="I5" s="6" t="n">
        <v>4.1</v>
      </c>
      <c r="J5" s="6" t="n">
        <v>10.9</v>
      </c>
      <c r="K5" s="6" t="n">
        <v>18.7</v>
      </c>
      <c r="L5" s="6" t="n">
        <v>7.9</v>
      </c>
      <c r="M5" s="6" t="inlineStr">
        <is>
          <t>—</t>
        </is>
      </c>
      <c r="N5" s="6">
        <f>SUM(C5:M5)-M5</f>
        <v/>
      </c>
      <c r="O5" s="6">
        <f>ROUND((C5+D5+E5+F5+G5)/46*100,1)</f>
        <v/>
      </c>
      <c r="P5" s="6">
        <f>ROUND((H5+I5+J5+K5)/43*100,1)</f>
        <v/>
      </c>
      <c r="Q5" s="6">
        <f>ROUND(L5/10*100,1)</f>
        <v/>
      </c>
    </row>
    <row r="6">
      <c r="A6" s="6" t="inlineStr">
        <is>
          <t>221-15-002</t>
        </is>
      </c>
      <c r="B6" s="7" t="inlineStr">
        <is>
          <t>Nusrat Jahan</t>
        </is>
      </c>
      <c r="C6" s="6" t="n">
        <v>10</v>
      </c>
      <c r="D6" s="6" t="n">
        <v>4.8</v>
      </c>
      <c r="E6" s="6" t="n">
        <v>4.6</v>
      </c>
      <c r="F6" s="6" t="n">
        <v>4.1</v>
      </c>
      <c r="G6" s="6" t="n">
        <v>9.800000000000001</v>
      </c>
      <c r="H6" s="6" t="n">
        <v>4.6</v>
      </c>
      <c r="I6" s="6" t="n">
        <v>4.5</v>
      </c>
      <c r="J6" s="6" t="n">
        <v>12.5</v>
      </c>
      <c r="K6" s="6" t="n">
        <v>16.1</v>
      </c>
      <c r="L6" s="6" t="n">
        <v>8</v>
      </c>
      <c r="M6" s="6" t="inlineStr">
        <is>
          <t>—</t>
        </is>
      </c>
      <c r="N6" s="6">
        <f>SUM(C6:M6)-M6</f>
        <v/>
      </c>
      <c r="O6" s="6">
        <f>ROUND((C6+D6+E6+F6+G6)/46*100,1)</f>
        <v/>
      </c>
      <c r="P6" s="6">
        <f>ROUND((H6+I6+J6+K6)/43*100,1)</f>
        <v/>
      </c>
      <c r="Q6" s="6">
        <f>ROUND(L6/10*100,1)</f>
        <v/>
      </c>
    </row>
    <row r="7">
      <c r="A7" s="6" t="inlineStr">
        <is>
          <t>221-15-003</t>
        </is>
      </c>
      <c r="B7" s="7" t="inlineStr">
        <is>
          <t>Mahmudul Hasan</t>
        </is>
      </c>
      <c r="C7" s="6" t="n">
        <v>9.6</v>
      </c>
      <c r="D7" s="6" t="n">
        <v>4.8</v>
      </c>
      <c r="E7" s="6" t="n">
        <v>4.1</v>
      </c>
      <c r="F7" s="6" t="n">
        <v>4.1</v>
      </c>
      <c r="G7" s="6" t="n">
        <v>11.2</v>
      </c>
      <c r="H7" s="6" t="n">
        <v>4.1</v>
      </c>
      <c r="I7" s="6" t="n">
        <v>4.3</v>
      </c>
      <c r="J7" s="6" t="n">
        <v>11</v>
      </c>
      <c r="K7" s="6" t="n">
        <v>18.4</v>
      </c>
      <c r="L7" s="6" t="n">
        <v>8.800000000000001</v>
      </c>
      <c r="M7" s="6" t="inlineStr">
        <is>
          <t>—</t>
        </is>
      </c>
      <c r="N7" s="6">
        <f>SUM(C7:M7)-M7</f>
        <v/>
      </c>
      <c r="O7" s="6">
        <f>ROUND((C7+D7+E7+F7+G7)/46*100,1)</f>
        <v/>
      </c>
      <c r="P7" s="6">
        <f>ROUND((H7+I7+J7+K7)/43*100,1)</f>
        <v/>
      </c>
      <c r="Q7" s="6">
        <f>ROUND(L7/10*100,1)</f>
        <v/>
      </c>
    </row>
    <row r="8">
      <c r="A8" s="6" t="inlineStr">
        <is>
          <t>221-15-004</t>
        </is>
      </c>
      <c r="B8" s="7" t="inlineStr">
        <is>
          <t>Fatema Akter</t>
        </is>
      </c>
      <c r="C8" s="6" t="n">
        <v>8.699999999999999</v>
      </c>
      <c r="D8" s="6" t="n">
        <v>4.7</v>
      </c>
      <c r="E8" s="6" t="n">
        <v>4.1</v>
      </c>
      <c r="F8" s="6" t="n">
        <v>4.1</v>
      </c>
      <c r="G8" s="6" t="n">
        <v>10.6</v>
      </c>
      <c r="H8" s="6" t="n">
        <v>4.2</v>
      </c>
      <c r="I8" s="6" t="n">
        <v>4.8</v>
      </c>
      <c r="J8" s="6" t="n">
        <v>11.8</v>
      </c>
      <c r="K8" s="6" t="n">
        <v>17.8</v>
      </c>
      <c r="L8" s="6" t="n">
        <v>9.6</v>
      </c>
      <c r="M8" s="6" t="inlineStr">
        <is>
          <t>—</t>
        </is>
      </c>
      <c r="N8" s="6">
        <f>SUM(C8:M8)-M8</f>
        <v/>
      </c>
      <c r="O8" s="6">
        <f>ROUND((C8+D8+E8+F8+G8)/46*100,1)</f>
        <v/>
      </c>
      <c r="P8" s="6">
        <f>ROUND((H8+I8+J8+K8)/43*100,1)</f>
        <v/>
      </c>
      <c r="Q8" s="6">
        <f>ROUND(L8/10*100,1)</f>
        <v/>
      </c>
    </row>
    <row r="9">
      <c r="A9" s="6" t="inlineStr">
        <is>
          <t>221-15-005</t>
        </is>
      </c>
      <c r="B9" s="7" t="inlineStr">
        <is>
          <t>Tanvir Ahmed</t>
        </is>
      </c>
      <c r="C9" s="6" t="n">
        <v>9.1</v>
      </c>
      <c r="D9" s="6" t="n">
        <v>4.5</v>
      </c>
      <c r="E9" s="6" t="n">
        <v>4.6</v>
      </c>
      <c r="F9" s="6" t="n">
        <v>4.8</v>
      </c>
      <c r="G9" s="6" t="n">
        <v>10.9</v>
      </c>
      <c r="H9" s="6" t="n">
        <v>4.8</v>
      </c>
      <c r="I9" s="6" t="n">
        <v>4</v>
      </c>
      <c r="J9" s="6" t="n">
        <v>11.1</v>
      </c>
      <c r="K9" s="6" t="n">
        <v>19.1</v>
      </c>
      <c r="L9" s="6" t="n">
        <v>8.1</v>
      </c>
      <c r="M9" s="6" t="inlineStr">
        <is>
          <t>—</t>
        </is>
      </c>
      <c r="N9" s="6">
        <f>SUM(C9:M9)-M9</f>
        <v/>
      </c>
      <c r="O9" s="6">
        <f>ROUND((C9+D9+E9+F9+G9)/46*100,1)</f>
        <v/>
      </c>
      <c r="P9" s="6">
        <f>ROUND((H9+I9+J9+K9)/43*100,1)</f>
        <v/>
      </c>
      <c r="Q9" s="6">
        <f>ROUND(L9/10*100,1)</f>
        <v/>
      </c>
    </row>
    <row r="10">
      <c r="A10" s="6" t="inlineStr">
        <is>
          <t>221-15-006</t>
        </is>
      </c>
      <c r="B10" s="7" t="inlineStr">
        <is>
          <t>Sadia Islam</t>
        </is>
      </c>
      <c r="C10" s="6" t="n">
        <v>9.5</v>
      </c>
      <c r="D10" s="6" t="n">
        <v>4.1</v>
      </c>
      <c r="E10" s="6" t="n">
        <v>4.4</v>
      </c>
      <c r="F10" s="6" t="n">
        <v>4.4</v>
      </c>
      <c r="G10" s="6" t="n">
        <v>10.8</v>
      </c>
      <c r="H10" s="6" t="n">
        <v>4.1</v>
      </c>
      <c r="I10" s="6" t="n">
        <v>4.7</v>
      </c>
      <c r="J10" s="6" t="n">
        <v>11</v>
      </c>
      <c r="K10" s="6" t="n">
        <v>16.3</v>
      </c>
      <c r="L10" s="6" t="n">
        <v>8.1</v>
      </c>
      <c r="M10" s="6" t="inlineStr">
        <is>
          <t>—</t>
        </is>
      </c>
      <c r="N10" s="6">
        <f>SUM(C10:M10)-M10</f>
        <v/>
      </c>
      <c r="O10" s="6">
        <f>ROUND((C10+D10+E10+F10+G10)/46*100,1)</f>
        <v/>
      </c>
      <c r="P10" s="6">
        <f>ROUND((H10+I10+J10+K10)/43*100,1)</f>
        <v/>
      </c>
      <c r="Q10" s="6">
        <f>ROUND(L10/10*100,1)</f>
        <v/>
      </c>
    </row>
    <row r="11">
      <c r="A11" s="6" t="inlineStr">
        <is>
          <t>221-15-007</t>
        </is>
      </c>
      <c r="B11" s="7" t="inlineStr">
        <is>
          <t>Rakibul Islam</t>
        </is>
      </c>
      <c r="C11" s="6" t="n">
        <v>8.699999999999999</v>
      </c>
      <c r="D11" s="6" t="n">
        <v>4.7</v>
      </c>
      <c r="E11" s="6" t="n">
        <v>4.1</v>
      </c>
      <c r="F11" s="6" t="n">
        <v>4.5</v>
      </c>
      <c r="G11" s="6" t="n">
        <v>10.2</v>
      </c>
      <c r="H11" s="6" t="n">
        <v>4.5</v>
      </c>
      <c r="I11" s="6" t="n">
        <v>4.5</v>
      </c>
      <c r="J11" s="6" t="n">
        <v>10.9</v>
      </c>
      <c r="K11" s="6" t="n">
        <v>18.8</v>
      </c>
      <c r="L11" s="6" t="n">
        <v>9.199999999999999</v>
      </c>
      <c r="M11" s="6" t="inlineStr">
        <is>
          <t>—</t>
        </is>
      </c>
      <c r="N11" s="6">
        <f>SUM(C11:M11)-M11</f>
        <v/>
      </c>
      <c r="O11" s="6">
        <f>ROUND((C11+D11+E11+F11+G11)/46*100,1)</f>
        <v/>
      </c>
      <c r="P11" s="6">
        <f>ROUND((H11+I11+J11+K11)/43*100,1)</f>
        <v/>
      </c>
      <c r="Q11" s="6">
        <f>ROUND(L11/10*100,1)</f>
        <v/>
      </c>
    </row>
    <row r="12">
      <c r="A12" s="6" t="inlineStr">
        <is>
          <t>221-15-008</t>
        </is>
      </c>
      <c r="B12" s="7" t="inlineStr">
        <is>
          <t>Moriom Begum</t>
        </is>
      </c>
      <c r="C12" s="6" t="n">
        <v>9.5</v>
      </c>
      <c r="D12" s="6" t="n">
        <v>4.7</v>
      </c>
      <c r="E12" s="6" t="n">
        <v>4.5</v>
      </c>
      <c r="F12" s="6" t="n">
        <v>4.2</v>
      </c>
      <c r="G12" s="6" t="n">
        <v>9.800000000000001</v>
      </c>
      <c r="H12" s="6" t="n">
        <v>4</v>
      </c>
      <c r="I12" s="6" t="n">
        <v>4.4</v>
      </c>
      <c r="J12" s="6" t="n">
        <v>12.4</v>
      </c>
      <c r="K12" s="6" t="n">
        <v>16.1</v>
      </c>
      <c r="L12" s="6" t="n">
        <v>8.9</v>
      </c>
      <c r="M12" s="6" t="inlineStr">
        <is>
          <t>—</t>
        </is>
      </c>
      <c r="N12" s="6">
        <f>SUM(C12:M12)-M12</f>
        <v/>
      </c>
      <c r="O12" s="6">
        <f>ROUND((C12+D12+E12+F12+G12)/46*100,1)</f>
        <v/>
      </c>
      <c r="P12" s="6">
        <f>ROUND((H12+I12+J12+K12)/43*100,1)</f>
        <v/>
      </c>
      <c r="Q12" s="6">
        <f>ROUND(L12/10*100,1)</f>
        <v/>
      </c>
    </row>
    <row r="13">
      <c r="A13" s="4" t="inlineStr">
        <is>
          <t>221-15-009</t>
        </is>
      </c>
      <c r="B13" s="5" t="inlineStr">
        <is>
          <t>Imran Khan</t>
        </is>
      </c>
      <c r="C13" s="4" t="n">
        <v>7.4</v>
      </c>
      <c r="D13" s="4" t="n">
        <v>3.2</v>
      </c>
      <c r="E13" s="4" t="n">
        <v>3</v>
      </c>
      <c r="F13" s="4" t="n">
        <v>3.5</v>
      </c>
      <c r="G13" s="4" t="n">
        <v>7.7</v>
      </c>
      <c r="H13" s="4" t="n">
        <v>3.5</v>
      </c>
      <c r="I13" s="4" t="n">
        <v>3.5</v>
      </c>
      <c r="J13" s="4" t="n">
        <v>8.300000000000001</v>
      </c>
      <c r="K13" s="4" t="n">
        <v>13.6</v>
      </c>
      <c r="L13" s="4" t="n">
        <v>6.2</v>
      </c>
      <c r="M13" s="4" t="inlineStr">
        <is>
          <t>—</t>
        </is>
      </c>
      <c r="N13" s="4">
        <f>SUM(C13:M13)-M13</f>
        <v/>
      </c>
      <c r="O13" s="4">
        <f>ROUND((C13+D13+E13+F13+G13)/46*100,1)</f>
        <v/>
      </c>
      <c r="P13" s="4">
        <f>ROUND((H13+I13+J13+K13)/43*100,1)</f>
        <v/>
      </c>
      <c r="Q13" s="4">
        <f>ROUND(L13/10*100,1)</f>
        <v/>
      </c>
    </row>
    <row r="14">
      <c r="A14" s="4" t="inlineStr">
        <is>
          <t>221-15-010</t>
        </is>
      </c>
      <c r="B14" s="5" t="inlineStr">
        <is>
          <t>Sharmin Akter</t>
        </is>
      </c>
      <c r="C14" s="4" t="n">
        <v>7.6</v>
      </c>
      <c r="D14" s="4" t="n">
        <v>3</v>
      </c>
      <c r="E14" s="4" t="n">
        <v>3.3</v>
      </c>
      <c r="F14" s="4" t="n">
        <v>3.1</v>
      </c>
      <c r="G14" s="4" t="n">
        <v>9.1</v>
      </c>
      <c r="H14" s="4" t="n">
        <v>3.6</v>
      </c>
      <c r="I14" s="4" t="n">
        <v>3.2</v>
      </c>
      <c r="J14" s="4" t="n">
        <v>9.4</v>
      </c>
      <c r="K14" s="4" t="n">
        <v>14.5</v>
      </c>
      <c r="L14" s="4" t="n">
        <v>6.1</v>
      </c>
      <c r="M14" s="4" t="inlineStr">
        <is>
          <t>—</t>
        </is>
      </c>
      <c r="N14" s="4">
        <f>SUM(C14:M14)-M14</f>
        <v/>
      </c>
      <c r="O14" s="4">
        <f>ROUND((C14+D14+E14+F14+G14)/46*100,1)</f>
        <v/>
      </c>
      <c r="P14" s="4">
        <f>ROUND((H14+I14+J14+K14)/43*100,1)</f>
        <v/>
      </c>
      <c r="Q14" s="4">
        <f>ROUND(L14/10*100,1)</f>
        <v/>
      </c>
    </row>
    <row r="15">
      <c r="A15" s="4" t="inlineStr">
        <is>
          <t>221-15-011</t>
        </is>
      </c>
      <c r="B15" s="5" t="inlineStr">
        <is>
          <t>Nazmul Huda</t>
        </is>
      </c>
      <c r="C15" s="4" t="n">
        <v>8</v>
      </c>
      <c r="D15" s="4" t="n">
        <v>3.2</v>
      </c>
      <c r="E15" s="4" t="n">
        <v>3.6</v>
      </c>
      <c r="F15" s="4" t="n">
        <v>3.3</v>
      </c>
      <c r="G15" s="4" t="n">
        <v>7.4</v>
      </c>
      <c r="H15" s="4" t="n">
        <v>3.3</v>
      </c>
      <c r="I15" s="4" t="n">
        <v>3.2</v>
      </c>
      <c r="J15" s="4" t="n">
        <v>9.300000000000001</v>
      </c>
      <c r="K15" s="4" t="n">
        <v>12.3</v>
      </c>
      <c r="L15" s="4" t="n">
        <v>6.1</v>
      </c>
      <c r="M15" s="4" t="inlineStr">
        <is>
          <t>—</t>
        </is>
      </c>
      <c r="N15" s="4">
        <f>SUM(C15:M15)-M15</f>
        <v/>
      </c>
      <c r="O15" s="4">
        <f>ROUND((C15+D15+E15+F15+G15)/46*100,1)</f>
        <v/>
      </c>
      <c r="P15" s="4">
        <f>ROUND((H15+I15+J15+K15)/43*100,1)</f>
        <v/>
      </c>
      <c r="Q15" s="4">
        <f>ROUND(L15/10*100,1)</f>
        <v/>
      </c>
    </row>
    <row r="16">
      <c r="A16" s="4" t="inlineStr">
        <is>
          <t>221-15-012</t>
        </is>
      </c>
      <c r="B16" s="5" t="inlineStr">
        <is>
          <t>Puja Rani</t>
        </is>
      </c>
      <c r="C16" s="4" t="n">
        <v>7.4</v>
      </c>
      <c r="D16" s="4" t="n">
        <v>3.5</v>
      </c>
      <c r="E16" s="4" t="n">
        <v>3</v>
      </c>
      <c r="F16" s="4" t="n">
        <v>2.9</v>
      </c>
      <c r="G16" s="4" t="n">
        <v>8.5</v>
      </c>
      <c r="H16" s="4" t="n">
        <v>3.5</v>
      </c>
      <c r="I16" s="4" t="n">
        <v>3</v>
      </c>
      <c r="J16" s="4" t="n">
        <v>7.8</v>
      </c>
      <c r="K16" s="4" t="n">
        <v>14.3</v>
      </c>
      <c r="L16" s="4" t="n">
        <v>6.9</v>
      </c>
      <c r="M16" s="4" t="inlineStr">
        <is>
          <t>—</t>
        </is>
      </c>
      <c r="N16" s="4">
        <f>SUM(C16:M16)-M16</f>
        <v/>
      </c>
      <c r="O16" s="4">
        <f>ROUND((C16+D16+E16+F16+G16)/46*100,1)</f>
        <v/>
      </c>
      <c r="P16" s="4">
        <f>ROUND((H16+I16+J16+K16)/43*100,1)</f>
        <v/>
      </c>
      <c r="Q16" s="4">
        <f>ROUND(L16/10*100,1)</f>
        <v/>
      </c>
    </row>
    <row r="17">
      <c r="A17" s="4" t="inlineStr">
        <is>
          <t>221-15-013</t>
        </is>
      </c>
      <c r="B17" s="5" t="inlineStr">
        <is>
          <t>Sabbir Rahman</t>
        </is>
      </c>
      <c r="C17" s="4" t="n">
        <v>7.2</v>
      </c>
      <c r="D17" s="4" t="n">
        <v>3</v>
      </c>
      <c r="E17" s="4" t="n">
        <v>3.2</v>
      </c>
      <c r="F17" s="4" t="n">
        <v>3</v>
      </c>
      <c r="G17" s="4" t="n">
        <v>7.8</v>
      </c>
      <c r="H17" s="4" t="n">
        <v>3</v>
      </c>
      <c r="I17" s="4" t="n">
        <v>3.4</v>
      </c>
      <c r="J17" s="4" t="n">
        <v>8.9</v>
      </c>
      <c r="K17" s="4" t="n">
        <v>12.9</v>
      </c>
      <c r="L17" s="4" t="n">
        <v>6.4</v>
      </c>
      <c r="M17" s="4" t="inlineStr">
        <is>
          <t>—</t>
        </is>
      </c>
      <c r="N17" s="4">
        <f>SUM(C17:M17)-M17</f>
        <v/>
      </c>
      <c r="O17" s="4">
        <f>ROUND((C17+D17+E17+F17+G17)/46*100,1)</f>
        <v/>
      </c>
      <c r="P17" s="4">
        <f>ROUND((H17+I17+J17+K17)/43*100,1)</f>
        <v/>
      </c>
      <c r="Q17" s="4">
        <f>ROUND(L17/10*100,1)</f>
        <v/>
      </c>
    </row>
    <row r="18">
      <c r="A18" s="4" t="inlineStr">
        <is>
          <t>221-15-014</t>
        </is>
      </c>
      <c r="B18" s="5" t="inlineStr">
        <is>
          <t>Tania Sultana</t>
        </is>
      </c>
      <c r="C18" s="4" t="n">
        <v>7.1</v>
      </c>
      <c r="D18" s="4" t="n">
        <v>3.2</v>
      </c>
      <c r="E18" s="4" t="n">
        <v>3.5</v>
      </c>
      <c r="F18" s="4" t="n">
        <v>3.7</v>
      </c>
      <c r="G18" s="4" t="n">
        <v>8.800000000000001</v>
      </c>
      <c r="H18" s="4" t="n">
        <v>3.6</v>
      </c>
      <c r="I18" s="4" t="n">
        <v>3.1</v>
      </c>
      <c r="J18" s="4" t="n">
        <v>8</v>
      </c>
      <c r="K18" s="4" t="n">
        <v>12.2</v>
      </c>
      <c r="L18" s="4" t="n">
        <v>6.3</v>
      </c>
      <c r="M18" s="4" t="inlineStr">
        <is>
          <t>—</t>
        </is>
      </c>
      <c r="N18" s="4">
        <f>SUM(C18:M18)-M18</f>
        <v/>
      </c>
      <c r="O18" s="4">
        <f>ROUND((C18+D18+E18+F18+G18)/46*100,1)</f>
        <v/>
      </c>
      <c r="P18" s="4">
        <f>ROUND((H18+I18+J18+K18)/43*100,1)</f>
        <v/>
      </c>
      <c r="Q18" s="4">
        <f>ROUND(L18/10*100,1)</f>
        <v/>
      </c>
    </row>
    <row r="19">
      <c r="A19" s="4" t="inlineStr">
        <is>
          <t>221-15-015</t>
        </is>
      </c>
      <c r="B19" s="5" t="inlineStr">
        <is>
          <t>Arif Billah</t>
        </is>
      </c>
      <c r="C19" s="4" t="n">
        <v>7.9</v>
      </c>
      <c r="D19" s="4" t="n">
        <v>3.7</v>
      </c>
      <c r="E19" s="4" t="n">
        <v>2.9</v>
      </c>
      <c r="F19" s="4" t="n">
        <v>3.5</v>
      </c>
      <c r="G19" s="4" t="n">
        <v>7.6</v>
      </c>
      <c r="H19" s="4" t="n">
        <v>3.8</v>
      </c>
      <c r="I19" s="4" t="n">
        <v>2.9</v>
      </c>
      <c r="J19" s="4" t="n">
        <v>7.8</v>
      </c>
      <c r="K19" s="4" t="n">
        <v>14.5</v>
      </c>
      <c r="L19" s="4" t="n">
        <v>7.3</v>
      </c>
      <c r="M19" s="4" t="inlineStr">
        <is>
          <t>—</t>
        </is>
      </c>
      <c r="N19" s="4">
        <f>SUM(C19:M19)-M19</f>
        <v/>
      </c>
      <c r="O19" s="4">
        <f>ROUND((C19+D19+E19+F19+G19)/46*100,1)</f>
        <v/>
      </c>
      <c r="P19" s="4">
        <f>ROUND((H19+I19+J19+K19)/43*100,1)</f>
        <v/>
      </c>
      <c r="Q19" s="4">
        <f>ROUND(L19/10*100,1)</f>
        <v/>
      </c>
    </row>
    <row r="20">
      <c r="A20" s="4" t="inlineStr">
        <is>
          <t>221-15-016</t>
        </is>
      </c>
      <c r="B20" s="5" t="inlineStr">
        <is>
          <t>Roksana Parvin</t>
        </is>
      </c>
      <c r="C20" s="4" t="n">
        <v>7.7</v>
      </c>
      <c r="D20" s="4" t="n">
        <v>3.2</v>
      </c>
      <c r="E20" s="4" t="n">
        <v>3</v>
      </c>
      <c r="F20" s="4" t="n">
        <v>3.5</v>
      </c>
      <c r="G20" s="4" t="n">
        <v>8</v>
      </c>
      <c r="H20" s="4" t="n">
        <v>3.4</v>
      </c>
      <c r="I20" s="4" t="n">
        <v>3.3</v>
      </c>
      <c r="J20" s="4" t="n">
        <v>8.5</v>
      </c>
      <c r="K20" s="4" t="n">
        <v>12.1</v>
      </c>
      <c r="L20" s="4" t="n">
        <v>7</v>
      </c>
      <c r="M20" s="4" t="inlineStr">
        <is>
          <t>—</t>
        </is>
      </c>
      <c r="N20" s="4">
        <f>SUM(C20:M20)-M20</f>
        <v/>
      </c>
      <c r="O20" s="4">
        <f>ROUND((C20+D20+E20+F20+G20)/46*100,1)</f>
        <v/>
      </c>
      <c r="P20" s="4">
        <f>ROUND((H20+I20+J20+K20)/43*100,1)</f>
        <v/>
      </c>
      <c r="Q20" s="4">
        <f>ROUND(L20/10*100,1)</f>
        <v/>
      </c>
    </row>
    <row r="21">
      <c r="A21" s="4" t="inlineStr">
        <is>
          <t>221-15-017</t>
        </is>
      </c>
      <c r="B21" s="5" t="inlineStr">
        <is>
          <t>Jakir Hossain</t>
        </is>
      </c>
      <c r="C21" s="4" t="n">
        <v>7.2</v>
      </c>
      <c r="D21" s="4" t="n">
        <v>3.4</v>
      </c>
      <c r="E21" s="4" t="n">
        <v>3</v>
      </c>
      <c r="F21" s="4" t="n">
        <v>3.2</v>
      </c>
      <c r="G21" s="4" t="n">
        <v>7.8</v>
      </c>
      <c r="H21" s="4" t="n">
        <v>3.4</v>
      </c>
      <c r="I21" s="4" t="n">
        <v>3.1</v>
      </c>
      <c r="J21" s="4" t="n">
        <v>9.5</v>
      </c>
      <c r="K21" s="4" t="n">
        <v>12.4</v>
      </c>
      <c r="L21" s="4" t="n">
        <v>6.4</v>
      </c>
      <c r="M21" s="4" t="inlineStr">
        <is>
          <t>—</t>
        </is>
      </c>
      <c r="N21" s="4">
        <f>SUM(C21:M21)-M21</f>
        <v/>
      </c>
      <c r="O21" s="4">
        <f>ROUND((C21+D21+E21+F21+G21)/46*100,1)</f>
        <v/>
      </c>
      <c r="P21" s="4">
        <f>ROUND((H21+I21+J21+K21)/43*100,1)</f>
        <v/>
      </c>
      <c r="Q21" s="4">
        <f>ROUND(L21/10*100,1)</f>
        <v/>
      </c>
    </row>
    <row r="22">
      <c r="A22" s="4" t="inlineStr">
        <is>
          <t>221-15-018</t>
        </is>
      </c>
      <c r="B22" s="5" t="inlineStr">
        <is>
          <t>Masum Billah</t>
        </is>
      </c>
      <c r="C22" s="4" t="n">
        <v>8</v>
      </c>
      <c r="D22" s="4" t="n">
        <v>3.4</v>
      </c>
      <c r="E22" s="4" t="n">
        <v>3</v>
      </c>
      <c r="F22" s="4" t="n">
        <v>3.3</v>
      </c>
      <c r="G22" s="4" t="n">
        <v>7.3</v>
      </c>
      <c r="H22" s="4" t="n">
        <v>2.9</v>
      </c>
      <c r="I22" s="4" t="n">
        <v>3.5</v>
      </c>
      <c r="J22" s="4" t="n">
        <v>9</v>
      </c>
      <c r="K22" s="4" t="n">
        <v>14.4</v>
      </c>
      <c r="L22" s="4" t="n">
        <v>7.5</v>
      </c>
      <c r="M22" s="4" t="inlineStr">
        <is>
          <t>—</t>
        </is>
      </c>
      <c r="N22" s="4">
        <f>SUM(C22:M22)-M22</f>
        <v/>
      </c>
      <c r="O22" s="4">
        <f>ROUND((C22+D22+E22+F22+G22)/46*100,1)</f>
        <v/>
      </c>
      <c r="P22" s="4">
        <f>ROUND((H22+I22+J22+K22)/43*100,1)</f>
        <v/>
      </c>
      <c r="Q22" s="4">
        <f>ROUND(L22/10*100,1)</f>
        <v/>
      </c>
    </row>
    <row r="23">
      <c r="A23" s="4" t="inlineStr">
        <is>
          <t>221-15-019</t>
        </is>
      </c>
      <c r="B23" s="5" t="inlineStr">
        <is>
          <t>Sumaiya Akter</t>
        </is>
      </c>
      <c r="C23" s="4" t="n">
        <v>7.5</v>
      </c>
      <c r="D23" s="4" t="n">
        <v>3.3</v>
      </c>
      <c r="E23" s="4" t="n">
        <v>3.5</v>
      </c>
      <c r="F23" s="4" t="n">
        <v>3.3</v>
      </c>
      <c r="G23" s="4" t="n">
        <v>8.1</v>
      </c>
      <c r="H23" s="4" t="n">
        <v>3.7</v>
      </c>
      <c r="I23" s="4" t="n">
        <v>3.4</v>
      </c>
      <c r="J23" s="4" t="n">
        <v>8.1</v>
      </c>
      <c r="K23" s="4" t="n">
        <v>11.6</v>
      </c>
      <c r="L23" s="4" t="n">
        <v>5.9</v>
      </c>
      <c r="M23" s="4" t="inlineStr">
        <is>
          <t>—</t>
        </is>
      </c>
      <c r="N23" s="4">
        <f>SUM(C23:M23)-M23</f>
        <v/>
      </c>
      <c r="O23" s="4">
        <f>ROUND((C23+D23+E23+F23+G23)/46*100,1)</f>
        <v/>
      </c>
      <c r="P23" s="4">
        <f>ROUND((H23+I23+J23+K23)/43*100,1)</f>
        <v/>
      </c>
      <c r="Q23" s="4">
        <f>ROUND(L23/10*100,1)</f>
        <v/>
      </c>
    </row>
    <row r="24">
      <c r="A24" s="4" t="inlineStr">
        <is>
          <t>221-15-020</t>
        </is>
      </c>
      <c r="B24" s="5" t="inlineStr">
        <is>
          <t>Rafiqul Islam</t>
        </is>
      </c>
      <c r="C24" s="4" t="n">
        <v>7.8</v>
      </c>
      <c r="D24" s="4" t="n">
        <v>3.5</v>
      </c>
      <c r="E24" s="4" t="n">
        <v>2.9</v>
      </c>
      <c r="F24" s="4" t="n">
        <v>3.7</v>
      </c>
      <c r="G24" s="4" t="n">
        <v>8.800000000000001</v>
      </c>
      <c r="H24" s="4" t="n">
        <v>3</v>
      </c>
      <c r="I24" s="4" t="n">
        <v>3.1</v>
      </c>
      <c r="J24" s="4" t="n">
        <v>9.699999999999999</v>
      </c>
      <c r="K24" s="4" t="n">
        <v>13.3</v>
      </c>
      <c r="L24" s="4" t="n">
        <v>5.9</v>
      </c>
      <c r="M24" s="4" t="inlineStr">
        <is>
          <t>—</t>
        </is>
      </c>
      <c r="N24" s="4">
        <f>SUM(C24:M24)-M24</f>
        <v/>
      </c>
      <c r="O24" s="4">
        <f>ROUND((C24+D24+E24+F24+G24)/46*100,1)</f>
        <v/>
      </c>
      <c r="P24" s="4">
        <f>ROUND((H24+I24+J24+K24)/43*100,1)</f>
        <v/>
      </c>
      <c r="Q24" s="4">
        <f>ROUND(L24/10*100,1)</f>
        <v/>
      </c>
    </row>
    <row r="25">
      <c r="A25" s="20" t="inlineStr">
        <is>
          <t>221-15-021</t>
        </is>
      </c>
      <c r="B25" s="21" t="inlineStr">
        <is>
          <t>Milon Chandra</t>
        </is>
      </c>
      <c r="C25" s="20" t="n">
        <v>3.7</v>
      </c>
      <c r="D25" s="20" t="n">
        <v>2.5</v>
      </c>
      <c r="E25" s="20" t="n">
        <v>2.3</v>
      </c>
      <c r="F25" s="20" t="n">
        <v>1.5</v>
      </c>
      <c r="G25" s="20" t="n">
        <v>3.9</v>
      </c>
      <c r="H25" s="20" t="n">
        <v>1.9</v>
      </c>
      <c r="I25" s="20" t="n">
        <v>2.6</v>
      </c>
      <c r="J25" s="20" t="n">
        <v>4.9</v>
      </c>
      <c r="K25" s="20" t="n">
        <v>7.9</v>
      </c>
      <c r="L25" s="20" t="n">
        <v>5.5</v>
      </c>
      <c r="M25" s="20" t="inlineStr">
        <is>
          <t>—</t>
        </is>
      </c>
      <c r="N25" s="20">
        <f>SUM(C25:M25)-M25</f>
        <v/>
      </c>
      <c r="O25" s="20">
        <f>ROUND((C25+D25+E25+F25+G25)/46*100,1)</f>
        <v/>
      </c>
      <c r="P25" s="20">
        <f>ROUND((H25+I25+J25+K25)/43*100,1)</f>
        <v/>
      </c>
      <c r="Q25" s="20">
        <f>ROUND(L25/10*100,1)</f>
        <v/>
      </c>
    </row>
    <row r="26">
      <c r="A26" s="20" t="inlineStr">
        <is>
          <t>221-15-022</t>
        </is>
      </c>
      <c r="B26" s="21" t="inlineStr">
        <is>
          <t>Ritu Akter</t>
        </is>
      </c>
      <c r="C26" s="20" t="n">
        <v>3.9</v>
      </c>
      <c r="D26" s="20" t="n">
        <v>2</v>
      </c>
      <c r="E26" s="20" t="n">
        <v>1.5</v>
      </c>
      <c r="F26" s="20" t="n">
        <v>2.1</v>
      </c>
      <c r="G26" s="20" t="n">
        <v>4.5</v>
      </c>
      <c r="H26" s="20" t="n">
        <v>2.1</v>
      </c>
      <c r="I26" s="20" t="n">
        <v>1.9</v>
      </c>
      <c r="J26" s="20" t="n">
        <v>4.2</v>
      </c>
      <c r="K26" s="20" t="n">
        <v>8</v>
      </c>
      <c r="L26" s="20" t="n">
        <v>3.2</v>
      </c>
      <c r="M26" s="20" t="inlineStr">
        <is>
          <t>—</t>
        </is>
      </c>
      <c r="N26" s="20">
        <f>SUM(C26:M26)-M26</f>
        <v/>
      </c>
      <c r="O26" s="20">
        <f>ROUND((C26+D26+E26+F26+G26)/46*100,1)</f>
        <v/>
      </c>
      <c r="P26" s="20">
        <f>ROUND((H26+I26+J26+K26)/43*100,1)</f>
        <v/>
      </c>
      <c r="Q26" s="20">
        <f>ROUND(L26/10*100,1)</f>
        <v/>
      </c>
    </row>
    <row r="27">
      <c r="A27" s="20" t="inlineStr">
        <is>
          <t>221-15-023</t>
        </is>
      </c>
      <c r="B27" s="21" t="inlineStr">
        <is>
          <t>Sagor Mia</t>
        </is>
      </c>
      <c r="C27" s="20" t="n">
        <v>3.4</v>
      </c>
      <c r="D27" s="20" t="n">
        <v>1.5</v>
      </c>
      <c r="E27" s="20" t="n">
        <v>2</v>
      </c>
      <c r="F27" s="20" t="n">
        <v>2.7</v>
      </c>
      <c r="G27" s="20" t="n">
        <v>5.4</v>
      </c>
      <c r="H27" s="20" t="n">
        <v>1.9</v>
      </c>
      <c r="I27" s="20" t="n">
        <v>1.4</v>
      </c>
      <c r="J27" s="20" t="n">
        <v>6</v>
      </c>
      <c r="K27" s="20" t="n">
        <v>7.3</v>
      </c>
      <c r="L27" s="20" t="n">
        <v>4.4</v>
      </c>
      <c r="M27" s="20" t="inlineStr">
        <is>
          <t>—</t>
        </is>
      </c>
      <c r="N27" s="20">
        <f>SUM(C27:M27)-M27</f>
        <v/>
      </c>
      <c r="O27" s="20">
        <f>ROUND((C27+D27+E27+F27+G27)/46*100,1)</f>
        <v/>
      </c>
      <c r="P27" s="20">
        <f>ROUND((H27+I27+J27+K27)/43*100,1)</f>
        <v/>
      </c>
      <c r="Q27" s="20">
        <f>ROUND(L27/10*100,1)</f>
        <v/>
      </c>
    </row>
    <row r="28">
      <c r="A28" s="20" t="inlineStr">
        <is>
          <t>221-15-024</t>
        </is>
      </c>
      <c r="B28" s="21" t="inlineStr">
        <is>
          <t>Lipi Begum</t>
        </is>
      </c>
      <c r="C28" s="20" t="n">
        <v>4</v>
      </c>
      <c r="D28" s="20" t="n">
        <v>1.5</v>
      </c>
      <c r="E28" s="20" t="n">
        <v>1.3</v>
      </c>
      <c r="F28" s="20" t="n">
        <v>2.1</v>
      </c>
      <c r="G28" s="20" t="n">
        <v>3.2</v>
      </c>
      <c r="H28" s="20" t="n">
        <v>1.7</v>
      </c>
      <c r="I28" s="20" t="n">
        <v>1.4</v>
      </c>
      <c r="J28" s="20" t="n">
        <v>5.5</v>
      </c>
      <c r="K28" s="20" t="n">
        <v>8.9</v>
      </c>
      <c r="L28" s="20" t="n">
        <v>5.2</v>
      </c>
      <c r="M28" s="20" t="inlineStr">
        <is>
          <t>—</t>
        </is>
      </c>
      <c r="N28" s="20">
        <f>SUM(C28:M28)-M28</f>
        <v/>
      </c>
      <c r="O28" s="20">
        <f>ROUND((C28+D28+E28+F28+G28)/46*100,1)</f>
        <v/>
      </c>
      <c r="P28" s="20">
        <f>ROUND((H28+I28+J28+K28)/43*100,1)</f>
        <v/>
      </c>
      <c r="Q28" s="20">
        <f>ROUND(L28/10*100,1)</f>
        <v/>
      </c>
    </row>
    <row r="29">
      <c r="A29" s="20" t="inlineStr">
        <is>
          <t>221-15-025</t>
        </is>
      </c>
      <c r="B29" s="21" t="inlineStr">
        <is>
          <t>Sujon Ahmed</t>
        </is>
      </c>
      <c r="C29" s="20" t="n">
        <v>4.4</v>
      </c>
      <c r="D29" s="20" t="n">
        <v>1.8</v>
      </c>
      <c r="E29" s="20" t="n">
        <v>2.4</v>
      </c>
      <c r="F29" s="20" t="n">
        <v>1.7</v>
      </c>
      <c r="G29" s="20" t="n">
        <v>4</v>
      </c>
      <c r="H29" s="20" t="n">
        <v>2.7</v>
      </c>
      <c r="I29" s="20" t="n">
        <v>1.2</v>
      </c>
      <c r="J29" s="20" t="n">
        <v>4.4</v>
      </c>
      <c r="K29" s="20" t="n">
        <v>8.300000000000001</v>
      </c>
      <c r="L29" s="20" t="n">
        <v>4.4</v>
      </c>
      <c r="M29" s="20" t="inlineStr">
        <is>
          <t>—</t>
        </is>
      </c>
      <c r="N29" s="20">
        <f>SUM(C29:M29)-M29</f>
        <v/>
      </c>
      <c r="O29" s="20">
        <f>ROUND((C29+D29+E29+F29+G29)/46*100,1)</f>
        <v/>
      </c>
      <c r="P29" s="20">
        <f>ROUND((H29+I29+J29+K29)/43*100,1)</f>
        <v/>
      </c>
      <c r="Q29" s="20">
        <f>ROUND(L29/10*100,1)</f>
        <v/>
      </c>
    </row>
    <row r="30">
      <c r="A30" s="20" t="inlineStr">
        <is>
          <t>221-15-026</t>
        </is>
      </c>
      <c r="B30" s="21" t="inlineStr">
        <is>
          <t>Mithun Das</t>
        </is>
      </c>
      <c r="C30" s="20" t="n">
        <v>3.7</v>
      </c>
      <c r="D30" s="20" t="n">
        <v>1.7</v>
      </c>
      <c r="E30" s="20" t="n">
        <v>2.7</v>
      </c>
      <c r="F30" s="20" t="n">
        <v>1.5</v>
      </c>
      <c r="G30" s="20" t="n">
        <v>4.1</v>
      </c>
      <c r="H30" s="20" t="n">
        <v>2</v>
      </c>
      <c r="I30" s="20" t="n">
        <v>2.2</v>
      </c>
      <c r="J30" s="20" t="n">
        <v>4.6</v>
      </c>
      <c r="K30" s="20" t="n">
        <v>8.4</v>
      </c>
      <c r="L30" s="20" t="n">
        <v>5.2</v>
      </c>
      <c r="M30" s="20" t="inlineStr">
        <is>
          <t>—</t>
        </is>
      </c>
      <c r="N30" s="20">
        <f>SUM(C30:M30)-M30</f>
        <v/>
      </c>
      <c r="O30" s="20">
        <f>ROUND((C30+D30+E30+F30+G30)/46*100,1)</f>
        <v/>
      </c>
      <c r="P30" s="20">
        <f>ROUND((H30+I30+J30+K30)/43*100,1)</f>
        <v/>
      </c>
      <c r="Q30" s="20">
        <f>ROUND(L30/10*100,1)</f>
        <v/>
      </c>
    </row>
    <row r="31">
      <c r="A31" s="20" t="inlineStr">
        <is>
          <t>221-15-027</t>
        </is>
      </c>
      <c r="B31" s="21" t="inlineStr">
        <is>
          <t>Pinky Akter</t>
        </is>
      </c>
      <c r="C31" s="20" t="n">
        <v>2.8</v>
      </c>
      <c r="D31" s="20" t="n">
        <v>2.5</v>
      </c>
      <c r="E31" s="20" t="n">
        <v>1.5</v>
      </c>
      <c r="F31" s="20" t="n">
        <v>2.5</v>
      </c>
      <c r="G31" s="20" t="n">
        <v>3.5</v>
      </c>
      <c r="H31" s="20" t="n">
        <v>2.4</v>
      </c>
      <c r="I31" s="20" t="n">
        <v>2.6</v>
      </c>
      <c r="J31" s="20" t="n">
        <v>7</v>
      </c>
      <c r="K31" s="20" t="n">
        <v>10.8</v>
      </c>
      <c r="L31" s="20" t="n">
        <v>3.8</v>
      </c>
      <c r="M31" s="20" t="inlineStr">
        <is>
          <t>—</t>
        </is>
      </c>
      <c r="N31" s="20">
        <f>SUM(C31:M31)-M31</f>
        <v/>
      </c>
      <c r="O31" s="20">
        <f>ROUND((C31+D31+E31+F31+G31)/46*100,1)</f>
        <v/>
      </c>
      <c r="P31" s="20">
        <f>ROUND((H31+I31+J31+K31)/43*100,1)</f>
        <v/>
      </c>
      <c r="Q31" s="20">
        <f>ROUND(L31/10*100,1)</f>
        <v/>
      </c>
    </row>
    <row r="32">
      <c r="A32" s="20" t="inlineStr">
        <is>
          <t>221-15-028</t>
        </is>
      </c>
      <c r="B32" s="21" t="inlineStr">
        <is>
          <t>Karim Uddin</t>
        </is>
      </c>
      <c r="C32" s="20" t="n">
        <v>3.2</v>
      </c>
      <c r="D32" s="20" t="n">
        <v>2.6</v>
      </c>
      <c r="E32" s="20" t="n">
        <v>2.5</v>
      </c>
      <c r="F32" s="20" t="n">
        <v>1.5</v>
      </c>
      <c r="G32" s="20" t="n">
        <v>3.4</v>
      </c>
      <c r="H32" s="20" t="n">
        <v>1.4</v>
      </c>
      <c r="I32" s="20" t="n">
        <v>1.6</v>
      </c>
      <c r="J32" s="20" t="n">
        <v>3.7</v>
      </c>
      <c r="K32" s="20" t="n">
        <v>8</v>
      </c>
      <c r="L32" s="20" t="n">
        <v>2.8</v>
      </c>
      <c r="M32" s="20" t="inlineStr">
        <is>
          <t>—</t>
        </is>
      </c>
      <c r="N32" s="20">
        <f>SUM(C32:M32)-M32</f>
        <v/>
      </c>
      <c r="O32" s="20">
        <f>ROUND((C32+D32+E32+F32+G32)/46*100,1)</f>
        <v/>
      </c>
      <c r="P32" s="20">
        <f>ROUND((H32+I32+J32+K32)/43*100,1)</f>
        <v/>
      </c>
      <c r="Q32" s="20">
        <f>ROUND(L32/10*100,1)</f>
        <v/>
      </c>
    </row>
    <row r="33">
      <c r="A33" s="20" t="inlineStr">
        <is>
          <t>221-15-029</t>
        </is>
      </c>
      <c r="B33" s="21" t="inlineStr">
        <is>
          <t>Nasrin Akter</t>
        </is>
      </c>
      <c r="C33" s="20" t="n">
        <v>3.2</v>
      </c>
      <c r="D33" s="20" t="n">
        <v>2.6</v>
      </c>
      <c r="E33" s="20" t="n">
        <v>1.5</v>
      </c>
      <c r="F33" s="20" t="n">
        <v>1.9</v>
      </c>
      <c r="G33" s="20" t="n">
        <v>3.2</v>
      </c>
      <c r="H33" s="20" t="n">
        <v>1.6</v>
      </c>
      <c r="I33" s="20" t="n">
        <v>1.9</v>
      </c>
      <c r="J33" s="20" t="n">
        <v>4.6</v>
      </c>
      <c r="K33" s="20" t="n">
        <v>4.4</v>
      </c>
      <c r="L33" s="20" t="n">
        <v>3.6</v>
      </c>
      <c r="M33" s="20" t="inlineStr">
        <is>
          <t>—</t>
        </is>
      </c>
      <c r="N33" s="20">
        <f>SUM(C33:M33)-M33</f>
        <v/>
      </c>
      <c r="O33" s="20">
        <f>ROUND((C33+D33+E33+F33+G33)/46*100,1)</f>
        <v/>
      </c>
      <c r="P33" s="20">
        <f>ROUND((H33+I33+J33+K33)/43*100,1)</f>
        <v/>
      </c>
      <c r="Q33" s="20">
        <f>ROUND(L33/10*100,1)</f>
        <v/>
      </c>
    </row>
    <row r="34">
      <c r="A34" s="20" t="inlineStr">
        <is>
          <t>221-15-030</t>
        </is>
      </c>
      <c r="B34" s="21" t="inlineStr">
        <is>
          <t>Belal Hossain</t>
        </is>
      </c>
      <c r="C34" s="20" t="n">
        <v>5.3</v>
      </c>
      <c r="D34" s="20" t="n">
        <v>1.6</v>
      </c>
      <c r="E34" s="20" t="n">
        <v>1.9</v>
      </c>
      <c r="F34" s="20" t="n">
        <v>1.4</v>
      </c>
      <c r="G34" s="20" t="n">
        <v>6.3</v>
      </c>
      <c r="H34" s="20" t="n">
        <v>1.4</v>
      </c>
      <c r="I34" s="20" t="n">
        <v>2.4</v>
      </c>
      <c r="J34" s="20" t="n">
        <v>6.1</v>
      </c>
      <c r="K34" s="20" t="n">
        <v>6.7</v>
      </c>
      <c r="L34" s="20" t="n">
        <v>3.8</v>
      </c>
      <c r="M34" s="20" t="inlineStr">
        <is>
          <t>—</t>
        </is>
      </c>
      <c r="N34" s="20">
        <f>SUM(C34:M34)-M34</f>
        <v/>
      </c>
      <c r="O34" s="20">
        <f>ROUND((C34+D34+E34+F34+G34)/46*100,1)</f>
        <v/>
      </c>
      <c r="P34" s="20">
        <f>ROUND((H34+I34+J34+K34)/43*100,1)</f>
        <v/>
      </c>
      <c r="Q34" s="20">
        <f>ROUND(L34/10*100,1)</f>
        <v/>
      </c>
    </row>
  </sheetData>
  <mergeCells count="5">
    <mergeCell ref="L3:M3"/>
    <mergeCell ref="H3:K3"/>
    <mergeCell ref="N3:Q3"/>
    <mergeCell ref="A1:Q1"/>
    <mergeCell ref="C3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5" customWidth="1" min="3" max="3"/>
    <col width="12" customWidth="1" min="4" max="4"/>
    <col width="13" customWidth="1" min="5" max="5"/>
    <col width="14" customWidth="1" min="6" max="6"/>
    <col width="14" customWidth="1" min="7" max="7"/>
    <col width="14" customWidth="1" min="8" max="8"/>
    <col width="18" customWidth="1" min="9" max="9"/>
    <col width="12" customWidth="1" min="10" max="10"/>
  </cols>
  <sheetData>
    <row r="1" ht="40" customHeight="1">
      <c r="A1" s="13" t="inlineStr">
        <is>
          <t>AcademiQ — CO Attainment Dashboard | DIU CSE Department | Summer 2025</t>
        </is>
      </c>
    </row>
    <row r="3">
      <c r="A3" s="2" t="inlineStr">
        <is>
          <t>CSE311 — Theory Course CO Attainment (Threshold: 60% of students must achieve ≥60%)</t>
        </is>
      </c>
    </row>
    <row r="4">
      <c r="A4" s="3" t="inlineStr">
        <is>
          <t>CO</t>
        </is>
      </c>
      <c r="B4" s="3" t="inlineStr">
        <is>
          <t>Mapped PO</t>
        </is>
      </c>
      <c r="C4" s="3" t="inlineStr">
        <is>
          <t>Description</t>
        </is>
      </c>
      <c r="D4" s="3" t="inlineStr">
        <is>
          <t>Total Marks</t>
        </is>
      </c>
      <c r="E4" s="3" t="inlineStr">
        <is>
          <t>Bloom's Level</t>
        </is>
      </c>
      <c r="F4" s="3" t="inlineStr">
        <is>
          <t>Students ≥60%</t>
        </is>
      </c>
      <c r="G4" s="3" t="inlineStr">
        <is>
          <t>Total Students</t>
        </is>
      </c>
      <c r="H4" s="3" t="inlineStr">
        <is>
          <t>Attainment %</t>
        </is>
      </c>
      <c r="I4" s="3" t="inlineStr">
        <is>
          <t>Level</t>
        </is>
      </c>
      <c r="J4" s="3" t="inlineStr">
        <is>
          <t>Status</t>
        </is>
      </c>
    </row>
    <row r="5">
      <c r="A5" s="4" t="inlineStr">
        <is>
          <t>CO1</t>
        </is>
      </c>
      <c r="B5" s="4" t="inlineStr">
        <is>
          <t>PO1</t>
        </is>
      </c>
      <c r="C5" s="5" t="inlineStr">
        <is>
          <t>Relate and apply fundamental database concepts including relational data models and SQL</t>
        </is>
      </c>
      <c r="D5" s="4" t="inlineStr">
        <is>
          <t>49</t>
        </is>
      </c>
      <c r="E5" s="4" t="inlineStr">
        <is>
          <t>Apply</t>
        </is>
      </c>
      <c r="F5" s="4" t="n">
        <v>22</v>
      </c>
      <c r="G5" s="4" t="n">
        <v>30</v>
      </c>
      <c r="H5" s="4">
        <f>ROUND(F5/G5*100,1)</f>
        <v/>
      </c>
      <c r="I5" s="4">
        <f>IF(H5&gt;=70,"L3 - Excellent",IF(H5&gt;=50,"L2 - Satisfactory","L1 - Needs Improvement"))</f>
        <v/>
      </c>
      <c r="J5" s="4">
        <f>IF(H5&gt;=60,"MET ✓","NOT MET ✗")</f>
        <v/>
      </c>
    </row>
    <row r="6">
      <c r="A6" s="6" t="inlineStr">
        <is>
          <t>CO2</t>
        </is>
      </c>
      <c r="B6" s="6" t="inlineStr">
        <is>
          <t>PO3</t>
        </is>
      </c>
      <c r="C6" s="7" t="inlineStr">
        <is>
          <t>Implement and optimize relational databases using advanced SQL and indexing techniques</t>
        </is>
      </c>
      <c r="D6" s="6" t="inlineStr">
        <is>
          <t>41</t>
        </is>
      </c>
      <c r="E6" s="6" t="inlineStr">
        <is>
          <t>Evaluate</t>
        </is>
      </c>
      <c r="F6" s="6" t="n">
        <v>18</v>
      </c>
      <c r="G6" s="6" t="n">
        <v>30</v>
      </c>
      <c r="H6" s="6">
        <f>ROUND(F6/G6*100,1)</f>
        <v/>
      </c>
      <c r="I6" s="6">
        <f>IF(H6&gt;=70,"L3 - Excellent",IF(H6&gt;=50,"L2 - Satisfactory","L1 - Needs Improvement"))</f>
        <v/>
      </c>
      <c r="J6" s="6">
        <f>IF(H6&gt;=60,"MET ✓","NOT MET ✗")</f>
        <v/>
      </c>
    </row>
    <row r="7">
      <c r="A7" s="4" t="inlineStr">
        <is>
          <t>CO3</t>
        </is>
      </c>
      <c r="B7" s="4" t="inlineStr">
        <is>
          <t>PO5</t>
        </is>
      </c>
      <c r="C7" s="5" t="inlineStr">
        <is>
          <t>Apply security techniques and emerging database tools to real-world challenges</t>
        </is>
      </c>
      <c r="D7" s="4" t="inlineStr">
        <is>
          <t>10</t>
        </is>
      </c>
      <c r="E7" s="4" t="inlineStr">
        <is>
          <t>Analyze</t>
        </is>
      </c>
      <c r="F7" s="4" t="n">
        <v>15</v>
      </c>
      <c r="G7" s="4" t="n">
        <v>30</v>
      </c>
      <c r="H7" s="4">
        <f>ROUND(F7/G7*100,1)</f>
        <v/>
      </c>
      <c r="I7" s="4">
        <f>IF(H7&gt;=70,"L3 - Excellent",IF(H7&gt;=50,"L2 - Satisfactory","L1 - Needs Improvement"))</f>
        <v/>
      </c>
      <c r="J7" s="4">
        <f>IF(H7&gt;=60,"MET ✓","NOT MET ✗")</f>
        <v/>
      </c>
    </row>
    <row r="9">
      <c r="A9" s="27" t="inlineStr">
        <is>
          <t>CSE312 — Lab Course CO Attainment (Threshold: 60% of students must achieve ≥60%)</t>
        </is>
      </c>
    </row>
    <row r="10">
      <c r="A10" s="26" t="inlineStr">
        <is>
          <t>CO</t>
        </is>
      </c>
      <c r="B10" s="26" t="inlineStr">
        <is>
          <t>Mapped PO</t>
        </is>
      </c>
      <c r="C10" s="26" t="inlineStr">
        <is>
          <t>Description</t>
        </is>
      </c>
      <c r="D10" s="26" t="inlineStr">
        <is>
          <t>Total Marks</t>
        </is>
      </c>
      <c r="E10" s="26" t="inlineStr">
        <is>
          <t>Bloom's Level</t>
        </is>
      </c>
      <c r="F10" s="26" t="inlineStr">
        <is>
          <t>Students ≥60%</t>
        </is>
      </c>
      <c r="G10" s="26" t="inlineStr">
        <is>
          <t>Total Students</t>
        </is>
      </c>
      <c r="H10" s="26" t="inlineStr">
        <is>
          <t>Attainment %</t>
        </is>
      </c>
      <c r="I10" s="26" t="inlineStr">
        <is>
          <t>Level</t>
        </is>
      </c>
      <c r="J10" s="26" t="inlineStr">
        <is>
          <t>Status</t>
        </is>
      </c>
    </row>
    <row r="11">
      <c r="A11" s="4" t="inlineStr">
        <is>
          <t>CO1</t>
        </is>
      </c>
      <c r="B11" s="4" t="inlineStr">
        <is>
          <t>PO3</t>
        </is>
      </c>
      <c r="C11" s="5" t="inlineStr">
        <is>
          <t>Implement and optimize relational databases using SQL, indexing, and query optimization</t>
        </is>
      </c>
      <c r="D11" s="4" t="inlineStr">
        <is>
          <t>40</t>
        </is>
      </c>
      <c r="E11" s="4" t="inlineStr">
        <is>
          <t>Apply</t>
        </is>
      </c>
      <c r="F11" s="4" t="n">
        <v>20</v>
      </c>
      <c r="G11" s="4" t="n">
        <v>30</v>
      </c>
      <c r="H11" s="4">
        <f>ROUND(F11/G11*100,1)</f>
        <v/>
      </c>
      <c r="I11" s="4">
        <f>IF(H11&gt;=70,"L3 - Excellent",IF(H11&gt;=50,"L2 - Satisfactory","L1 - Needs Improvement"))</f>
        <v/>
      </c>
      <c r="J11" s="4">
        <f>IF(H11&gt;=60,"MET ✓","NOT MET ✗")</f>
        <v/>
      </c>
    </row>
    <row r="12">
      <c r="A12" s="6" t="inlineStr">
        <is>
          <t>CO2</t>
        </is>
      </c>
      <c r="B12" s="6" t="inlineStr">
        <is>
          <t>PO5</t>
        </is>
      </c>
      <c r="C12" s="7" t="inlineStr">
        <is>
          <t>Analyze security techniques, distributed DB architectures, and emerging tools</t>
        </is>
      </c>
      <c r="D12" s="6" t="inlineStr">
        <is>
          <t>40</t>
        </is>
      </c>
      <c r="E12" s="6" t="inlineStr">
        <is>
          <t>Analyze</t>
        </is>
      </c>
      <c r="F12" s="6" t="n">
        <v>17</v>
      </c>
      <c r="G12" s="6" t="n">
        <v>30</v>
      </c>
      <c r="H12" s="6">
        <f>ROUND(F12/G12*100,1)</f>
        <v/>
      </c>
      <c r="I12" s="6">
        <f>IF(H12&gt;=70,"L3 - Excellent",IF(H12&gt;=50,"L2 - Satisfactory","L1 - Needs Improvement"))</f>
        <v/>
      </c>
      <c r="J12" s="6">
        <f>IF(H12&gt;=60,"MET ✓","NOT MET ✗")</f>
        <v/>
      </c>
    </row>
    <row r="13">
      <c r="A13" s="4" t="inlineStr">
        <is>
          <t>CO3</t>
        </is>
      </c>
      <c r="B13" s="4" t="inlineStr">
        <is>
          <t>PO9</t>
        </is>
      </c>
      <c r="C13" s="5" t="inlineStr">
        <is>
          <t>Perform effectively as individual or team member through documentation and project work</t>
        </is>
      </c>
      <c r="D13" s="4" t="inlineStr">
        <is>
          <t>10</t>
        </is>
      </c>
      <c r="E13" s="4" t="inlineStr">
        <is>
          <t>Apply</t>
        </is>
      </c>
      <c r="F13" s="4" t="n">
        <v>21</v>
      </c>
      <c r="G13" s="4" t="n">
        <v>30</v>
      </c>
      <c r="H13" s="4">
        <f>ROUND(F13/G13*100,1)</f>
        <v/>
      </c>
      <c r="I13" s="4">
        <f>IF(H13&gt;=70,"L3 - Excellent",IF(H13&gt;=50,"L2 - Satisfactory","L1 - Needs Improvement"))</f>
        <v/>
      </c>
      <c r="J13" s="4">
        <f>IF(H13&gt;=60,"MET ✓","NOT MET ✗")</f>
        <v/>
      </c>
    </row>
    <row r="14">
      <c r="A14" s="6" t="inlineStr">
        <is>
          <t>CO4</t>
        </is>
      </c>
      <c r="B14" s="6" t="inlineStr">
        <is>
          <t>PO10</t>
        </is>
      </c>
      <c r="C14" s="7" t="inlineStr">
        <is>
          <t>Create and communicate complex engineering projects effectively</t>
        </is>
      </c>
      <c r="D14" s="6" t="inlineStr">
        <is>
          <t>10</t>
        </is>
      </c>
      <c r="E14" s="6" t="inlineStr">
        <is>
          <t>Create</t>
        </is>
      </c>
      <c r="F14" s="6" t="n">
        <v>19</v>
      </c>
      <c r="G14" s="6" t="n">
        <v>30</v>
      </c>
      <c r="H14" s="6">
        <f>ROUND(F14/G14*100,1)</f>
        <v/>
      </c>
      <c r="I14" s="6">
        <f>IF(H14&gt;=70,"L3 - Excellent",IF(H14&gt;=50,"L2 - Satisfactory","L1 - Needs Improvement"))</f>
        <v/>
      </c>
      <c r="J14" s="6">
        <f>IF(H14&gt;=60,"MET ✓","NOT MET ✗")</f>
        <v/>
      </c>
    </row>
  </sheetData>
  <mergeCells count="3">
    <mergeCell ref="A1:J1"/>
    <mergeCell ref="A9:J9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35" customWidth="1" min="4" max="4"/>
    <col width="16" customWidth="1" min="5" max="5"/>
  </cols>
  <sheetData>
    <row r="1" ht="35" customHeight="1">
      <c r="A1" s="28" t="inlineStr">
        <is>
          <t>AcademiQ — Marks Import Template | Upload this file via Upload Marks page</t>
        </is>
      </c>
    </row>
    <row r="2">
      <c r="A2" s="29" t="inlineStr">
        <is>
          <t>Instructions: Fill student_id, assessment_id, and obtained_marks. Do NOT modify column headers. Upload as .xlsx or .csv</t>
        </is>
      </c>
    </row>
    <row r="3">
      <c r="A3" s="3" t="inlineStr">
        <is>
          <t>student_id</t>
        </is>
      </c>
      <c r="B3" s="3" t="inlineStr">
        <is>
          <t>student_name (reference only)</t>
        </is>
      </c>
      <c r="C3" s="3" t="inlineStr">
        <is>
          <t>assessment_id</t>
        </is>
      </c>
      <c r="D3" s="3" t="inlineStr">
        <is>
          <t>assessment_name (reference only)</t>
        </is>
      </c>
      <c r="E3" s="3" t="inlineStr">
        <is>
          <t>obtained_marks</t>
        </is>
      </c>
    </row>
    <row r="4">
      <c r="A4" s="30" t="inlineStr">
        <is>
          <t>← Fill from row 4 down</t>
        </is>
      </c>
    </row>
    <row r="5">
      <c r="A5" s="31" t="n">
        <v>1</v>
      </c>
      <c r="B5" s="32" t="inlineStr">
        <is>
          <t>Arafat Hossain</t>
        </is>
      </c>
      <c r="C5" s="31" t="n">
        <v>1</v>
      </c>
      <c r="D5" s="31" t="inlineStr">
        <is>
          <t>Attendance</t>
        </is>
      </c>
      <c r="E5" s="31" t="n">
        <v>6.5</v>
      </c>
    </row>
    <row r="6">
      <c r="A6" s="31" t="n">
        <v>1</v>
      </c>
      <c r="B6" s="32" t="inlineStr">
        <is>
          <t>Arafat Hossain</t>
        </is>
      </c>
      <c r="C6" s="31" t="n">
        <v>2</v>
      </c>
      <c r="D6" s="31" t="inlineStr">
        <is>
          <t>Quiz 1 — SQL Basics</t>
        </is>
      </c>
      <c r="E6" s="31" t="n">
        <v>4.2</v>
      </c>
    </row>
    <row r="7">
      <c r="A7" s="31" t="n">
        <v>2</v>
      </c>
      <c r="B7" s="32" t="inlineStr">
        <is>
          <t>Nusrat Jahan</t>
        </is>
      </c>
      <c r="C7" s="31" t="n">
        <v>1</v>
      </c>
      <c r="D7" s="31" t="inlineStr">
        <is>
          <t>Attendance</t>
        </is>
      </c>
      <c r="E7" s="31" t="n">
        <v>7</v>
      </c>
    </row>
    <row r="8">
      <c r="A8" s="31" t="n">
        <v>2</v>
      </c>
      <c r="B8" s="32" t="inlineStr">
        <is>
          <t>Nusrat Jahan</t>
        </is>
      </c>
      <c r="C8" s="31" t="n">
        <v>2</v>
      </c>
      <c r="D8" s="31" t="inlineStr">
        <is>
          <t>Quiz 1 — SQL Basics</t>
        </is>
      </c>
      <c r="E8" s="31" t="n">
        <v>4.8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2026-05-03T07:21:25Z</dcterms:created>
  <dcterms:modified xmlns:dcterms="http://purl.org/dc/terms/" xmlns:xsi="http://www.w3.org/2001/XMLSchema-instance" xsi:type="dcterms:W3CDTF">2026-05-03T07:21:25Z</dcterms:modified>
</cp:coreProperties>
</file>